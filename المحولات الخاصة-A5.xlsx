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xcel\"/>
    </mc:Choice>
  </mc:AlternateContent>
  <bookViews>
    <workbookView xWindow="-120" yWindow="330" windowWidth="24240" windowHeight="13290" tabRatio="816" activeTab="3"/>
  </bookViews>
  <sheets>
    <sheet name="دمياط" sheetId="2" r:id="rId1"/>
    <sheet name="شمال الدقهلية" sheetId="7" r:id="rId2"/>
    <sheet name="جنوب الدقهلية" sheetId="8" r:id="rId3"/>
    <sheet name="كفر الشيخ" sheetId="9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7" l="1"/>
  <c r="G17" i="7" s="1"/>
  <c r="E17" i="7"/>
  <c r="G20" i="9"/>
  <c r="F20" i="9"/>
  <c r="E20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3" i="9"/>
  <c r="F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3" i="9"/>
  <c r="D4" i="9"/>
  <c r="D20" i="9" s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3" i="9"/>
  <c r="B20" i="9"/>
  <c r="C20" i="9"/>
  <c r="F16" i="8"/>
  <c r="G16" i="8" s="1"/>
  <c r="E16" i="8"/>
  <c r="G4" i="8"/>
  <c r="G5" i="8"/>
  <c r="G6" i="8"/>
  <c r="G7" i="8"/>
  <c r="G8" i="8"/>
  <c r="G9" i="8"/>
  <c r="G10" i="8"/>
  <c r="G11" i="8"/>
  <c r="G12" i="8"/>
  <c r="G13" i="8"/>
  <c r="G14" i="8"/>
  <c r="G15" i="8"/>
  <c r="F4" i="8"/>
  <c r="F5" i="8"/>
  <c r="F6" i="8"/>
  <c r="F7" i="8"/>
  <c r="F8" i="8"/>
  <c r="F9" i="8"/>
  <c r="F10" i="8"/>
  <c r="F11" i="8"/>
  <c r="F12" i="8"/>
  <c r="F13" i="8"/>
  <c r="F14" i="8"/>
  <c r="F15" i="8"/>
  <c r="G3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3" i="8"/>
  <c r="D4" i="8"/>
  <c r="D5" i="8"/>
  <c r="D6" i="8"/>
  <c r="D16" i="8" s="1"/>
  <c r="D7" i="8"/>
  <c r="D8" i="8"/>
  <c r="D9" i="8"/>
  <c r="D10" i="8"/>
  <c r="D11" i="8"/>
  <c r="D12" i="8"/>
  <c r="D13" i="8"/>
  <c r="D14" i="8"/>
  <c r="D15" i="8"/>
  <c r="D3" i="8"/>
  <c r="B16" i="8"/>
  <c r="C16" i="8"/>
  <c r="F4" i="7"/>
  <c r="F5" i="7"/>
  <c r="F6" i="7"/>
  <c r="F7" i="7"/>
  <c r="G7" i="7" s="1"/>
  <c r="F8" i="7"/>
  <c r="F9" i="7"/>
  <c r="F10" i="7"/>
  <c r="F11" i="7"/>
  <c r="G11" i="7" s="1"/>
  <c r="F12" i="7"/>
  <c r="F13" i="7"/>
  <c r="F14" i="7"/>
  <c r="F15" i="7"/>
  <c r="G15" i="7" s="1"/>
  <c r="F16" i="7"/>
  <c r="G4" i="7"/>
  <c r="G5" i="7"/>
  <c r="G6" i="7"/>
  <c r="G8" i="7"/>
  <c r="G9" i="7"/>
  <c r="G10" i="7"/>
  <c r="G12" i="7"/>
  <c r="G13" i="7"/>
  <c r="G14" i="7"/>
  <c r="G16" i="7"/>
  <c r="G3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3" i="7"/>
  <c r="D4" i="7"/>
  <c r="D5" i="7"/>
  <c r="D6" i="7"/>
  <c r="D7" i="7"/>
  <c r="D17" i="7" s="1"/>
  <c r="D8" i="7"/>
  <c r="D9" i="7"/>
  <c r="D10" i="7"/>
  <c r="D11" i="7"/>
  <c r="D12" i="7"/>
  <c r="D13" i="7"/>
  <c r="D14" i="7"/>
  <c r="D15" i="7"/>
  <c r="D16" i="7"/>
  <c r="D3" i="7"/>
  <c r="C17" i="7"/>
  <c r="B17" i="7"/>
  <c r="F3" i="2"/>
  <c r="F4" i="2"/>
  <c r="F5" i="2"/>
  <c r="F6" i="2"/>
  <c r="F7" i="2"/>
  <c r="F8" i="2"/>
  <c r="F9" i="2"/>
  <c r="F10" i="2"/>
  <c r="F11" i="2"/>
  <c r="F12" i="2"/>
  <c r="F13" i="2"/>
  <c r="F14" i="2"/>
  <c r="E3" i="2"/>
  <c r="E4" i="2"/>
  <c r="E5" i="2"/>
  <c r="E6" i="2"/>
  <c r="E7" i="2"/>
  <c r="E8" i="2"/>
  <c r="E9" i="2"/>
  <c r="E10" i="2"/>
  <c r="E11" i="2"/>
  <c r="E12" i="2"/>
  <c r="E13" i="2"/>
  <c r="E14" i="2"/>
  <c r="D4" i="2"/>
  <c r="D5" i="2"/>
  <c r="D6" i="2"/>
  <c r="D7" i="2"/>
  <c r="D8" i="2"/>
  <c r="D9" i="2"/>
  <c r="D10" i="2"/>
  <c r="D11" i="2"/>
  <c r="D12" i="2"/>
  <c r="D13" i="2"/>
  <c r="D14" i="2"/>
  <c r="D3" i="2"/>
  <c r="G3" i="2" l="1"/>
  <c r="G4" i="2"/>
  <c r="G5" i="2"/>
  <c r="G6" i="2"/>
  <c r="G7" i="2"/>
  <c r="G8" i="2"/>
  <c r="G9" i="2"/>
  <c r="G10" i="2"/>
  <c r="G11" i="2"/>
  <c r="G12" i="2"/>
  <c r="G13" i="2"/>
  <c r="B14" i="2"/>
  <c r="G14" i="2" s="1"/>
  <c r="C14" i="2"/>
</calcChain>
</file>

<file path=xl/sharedStrings.xml><?xml version="1.0" encoding="utf-8"?>
<sst xmlns="http://schemas.openxmlformats.org/spreadsheetml/2006/main" count="91" uniqueCount="76">
  <si>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</si>
  <si>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</si>
  <si>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</si>
  <si>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</si>
  <si>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</si>
  <si>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</si>
  <si>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</si>
  <si>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</si>
  <si>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</si>
  <si>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</si>
  <si>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</si>
  <si>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</si>
  <si>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</si>
  <si>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</si>
  <si>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</si>
  <si>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</si>
  <si>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</si>
  <si>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</si>
  <si>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</si>
  <si>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</si>
  <si>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</si>
  <si>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</si>
  <si>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</si>
  <si>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</si>
  <si>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</si>
  <si>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</si>
  <si>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</si>
  <si>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</si>
  <si>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</si>
  <si>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</si>
  <si>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</si>
  <si>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</si>
  <si>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</si>
  <si>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</si>
  <si>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</si>
  <si>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</si>
  <si>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</si>
  <si>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</si>
  <si>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</si>
  <si>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</si>
  <si>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</si>
  <si>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</si>
  <si>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</si>
  <si>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</si>
  <si>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</si>
  <si>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</si>
  <si>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</si>
  <si>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</si>
  <si>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</si>
  <si>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</si>
  <si>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</si>
  <si>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</si>
  <si>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</si>
  <si>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</si>
  <si>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</si>
  <si>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الإجمالي</t>
  </si>
  <si>
    <t>قطاع دمياط</t>
  </si>
  <si>
    <t>قطاع شمال الدقهلية</t>
  </si>
  <si>
    <t>قطاع جنوب الدقهلية</t>
  </si>
  <si>
    <t>المستهدف-الأسبوعي</t>
  </si>
  <si>
    <t>المستهدف-االيومي</t>
  </si>
  <si>
    <t>المستهدف</t>
  </si>
  <si>
    <t>المتبقى</t>
  </si>
  <si>
    <t>نسبة تنفيذ</t>
  </si>
  <si>
    <t>بيان ماتم تركيبة من العدادات الذكية بالكشاك الخاصة -A5</t>
  </si>
  <si>
    <t>المنفذ</t>
  </si>
  <si>
    <t>الأجمالي</t>
  </si>
  <si>
    <t>Target</t>
  </si>
  <si>
    <t>Done</t>
  </si>
  <si>
    <t>Balance</t>
  </si>
  <si>
    <t xml:space="preserve">Percentage </t>
  </si>
  <si>
    <t>weekly target</t>
  </si>
  <si>
    <t>daily target</t>
  </si>
  <si>
    <t xml:space="preserve">بيان ماتم تركيبة من العدادات الذكية </t>
  </si>
  <si>
    <t>DiscoBranche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</si>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</sst>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5" fillId="0" borderId="1" xfId="1" applyFont="1" applyFill="1" applyBorder="1" applyAlignment="1" applyProtection="1">
      <alignment horizontal="center" vertical="center"/>
    </xf>
    <xf numFmtId="164" fontId="3" fillId="2" borderId="1" xfId="1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9" fontId="5" fillId="0" borderId="3" xfId="1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/>
    </xf>
    <xf numFmtId="9" fontId="5" fillId="2" borderId="3" xfId="1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ypesTable3" displayName="TypesTable3" ref="A2:G14" totalsRowShown="0" headerRowDxfId="11" dataDxfId="9" headerRowBorderDxfId="10" tableBorderDxfId="8" totalsRowBorderDxfId="7">
  <tableColumns count="7">
    <tableColumn id="2" name="قطاع دمياط" dataDxfId="6"/>
    <tableColumn id="1" name="المستهدف" dataDxfId="5"/>
    <tableColumn id="7" name="المنفذ" dataDxfId="4"/>
    <tableColumn id="9" name="المتبقى" dataDxfId="3">
      <calculatedColumnFormula>TypesTable3[[#This Row],[المستهدف]]-TypesTable3[[#This Row],[المنفذ]]</calculatedColumnFormula>
    </tableColumn>
    <tableColumn id="11" name="نسبة تنفيذ" dataDxfId="2" dataCellStyle="Percent">
      <calculatedColumnFormula>TypesTable3[[#This Row],[المنفذ]]/TypesTable3[[#This Row],[المستهدف]]</calculatedColumnFormula>
    </tableColumn>
    <tableColumn id="12" name="المستهدف-الأسبوعي" dataDxfId="1" dataCellStyle="Percent">
      <calculatedColumnFormula>TypesTable3[[#This Row],[المتبقى]]/8</calculatedColumnFormula>
    </tableColumn>
    <tableColumn id="10" name="المستهدف-االيومي" dataDxfId="0">
      <calculatedColumnFormula>TypesTable3[[#This Row],[المستهدف-الأسبوعي]]/6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rightToLeft="1" zoomScaleNormal="100" zoomScaleSheetLayoutView="70" workbookViewId="0">
      <selection activeCell="B8" sqref="B8"/>
    </sheetView>
  </sheetViews>
  <sheetFormatPr defaultColWidth="36.7109375" defaultRowHeight="18" customHeight="1" x14ac:dyDescent="0.25"/>
  <cols>
    <col min="1" max="1" width="36.5703125" style="2" bestFit="1" customWidth="1"/>
    <col min="2" max="2" width="11.28515625" style="2" bestFit="1" customWidth="1"/>
    <col min="3" max="3" width="6.85546875" style="2" bestFit="1" customWidth="1"/>
    <col min="4" max="4" width="8.42578125" style="2" bestFit="1" customWidth="1"/>
    <col min="5" max="5" width="11.5703125" style="2" bestFit="1" customWidth="1"/>
    <col min="6" max="6" width="22.140625" style="2" bestFit="1" customWidth="1"/>
    <col min="7" max="7" width="19.85546875" style="2" bestFit="1" customWidth="1"/>
    <col min="8" max="16384" width="36.7109375" style="2"/>
  </cols>
  <sheetData>
    <row r="1" spans="1:7" ht="42" customHeight="1" x14ac:dyDescent="0.25">
      <c r="A1" s="16" t="s">
        <v>64</v>
      </c>
      <c r="B1" s="16"/>
      <c r="C1" s="16"/>
      <c r="D1" s="16"/>
      <c r="E1" s="16"/>
      <c r="F1" s="16"/>
      <c r="G1" s="16"/>
    </row>
    <row r="2" spans="1:7" s="1" customFormat="1" ht="30" customHeight="1" x14ac:dyDescent="0.25">
      <c r="A2" s="3" t="s">
        <v>56</v>
      </c>
      <c r="B2" s="3" t="s">
        <v>61</v>
      </c>
      <c r="C2" s="3" t="s">
        <v>65</v>
      </c>
      <c r="D2" s="3" t="s">
        <v>62</v>
      </c>
      <c r="E2" s="3" t="s">
        <v>63</v>
      </c>
      <c r="F2" s="3" t="s">
        <v>59</v>
      </c>
      <c r="G2" s="3" t="s">
        <v>60</v>
      </c>
    </row>
    <row r="3" spans="1:7" ht="30" customHeight="1" x14ac:dyDescent="0.25">
      <c r="A3" s="5" t="s">
        <v>0</v>
      </c>
      <c r="B3" s="5">
        <v>95</v>
      </c>
      <c r="C3" s="5">
        <v>0</v>
      </c>
      <c r="D3" s="5">
        <f>TypesTable3[[#This Row],[المستهدف]]-TypesTable3[[#This Row],[المنفذ]]</f>
        <v>95</v>
      </c>
      <c r="E3" s="7">
        <f>TypesTable3[[#This Row],[المنفذ]]/TypesTable3[[#This Row],[المستهدف]]</f>
        <v>0</v>
      </c>
      <c r="F3" s="6">
        <f>TypesTable3[[#This Row],[المتبقى]]/8</f>
        <v>11.875</v>
      </c>
      <c r="G3" s="6">
        <f>TypesTable3[[#This Row],[المستهدف-الأسبوعي]]/6</f>
        <v>1.9791666666666667</v>
      </c>
    </row>
    <row r="4" spans="1:7" ht="30" customHeight="1" x14ac:dyDescent="0.25">
      <c r="A4" s="5" t="s">
        <v>1</v>
      </c>
      <c r="B4" s="5">
        <v>255</v>
      </c>
      <c r="C4" s="5">
        <v>0</v>
      </c>
      <c r="D4" s="5">
        <f>TypesTable3[[#This Row],[المستهدف]]-TypesTable3[[#This Row],[المنفذ]]</f>
        <v>255</v>
      </c>
      <c r="E4" s="7">
        <f>TypesTable3[[#This Row],[المنفذ]]/TypesTable3[[#This Row],[المستهدف]]</f>
        <v>0</v>
      </c>
      <c r="F4" s="6">
        <f>TypesTable3[[#This Row],[المتبقى]]/8</f>
        <v>31.875</v>
      </c>
      <c r="G4" s="6">
        <f>TypesTable3[[#This Row],[المستهدف-الأسبوعي]]/6</f>
        <v>5.3125</v>
      </c>
    </row>
    <row r="5" spans="1:7" ht="30" customHeight="1" x14ac:dyDescent="0.25">
      <c r="A5" s="5" t="s">
        <v>2</v>
      </c>
      <c r="B5" s="5">
        <v>29</v>
      </c>
      <c r="C5" s="5">
        <v>0</v>
      </c>
      <c r="D5" s="5">
        <f>TypesTable3[[#This Row],[المستهدف]]-TypesTable3[[#This Row],[المنفذ]]</f>
        <v>29</v>
      </c>
      <c r="E5" s="7">
        <f>TypesTable3[[#This Row],[المنفذ]]/TypesTable3[[#This Row],[المستهدف]]</f>
        <v>0</v>
      </c>
      <c r="F5" s="6">
        <f>TypesTable3[[#This Row],[المتبقى]]/8</f>
        <v>3.625</v>
      </c>
      <c r="G5" s="6">
        <f>TypesTable3[[#This Row],[المستهدف-الأسبوعي]]/6</f>
        <v>0.60416666666666663</v>
      </c>
    </row>
    <row r="6" spans="1:7" ht="30" customHeight="1" x14ac:dyDescent="0.25">
      <c r="A6" s="5" t="s">
        <v>3</v>
      </c>
      <c r="B6" s="5">
        <v>192</v>
      </c>
      <c r="C6" s="5">
        <v>0</v>
      </c>
      <c r="D6" s="5">
        <f>TypesTable3[[#This Row],[المستهدف]]-TypesTable3[[#This Row],[المنفذ]]</f>
        <v>192</v>
      </c>
      <c r="E6" s="7">
        <f>TypesTable3[[#This Row],[المنفذ]]/TypesTable3[[#This Row],[المستهدف]]</f>
        <v>0</v>
      </c>
      <c r="F6" s="6">
        <f>TypesTable3[[#This Row],[المتبقى]]/8</f>
        <v>24</v>
      </c>
      <c r="G6" s="6">
        <f>TypesTable3[[#This Row],[المستهدف-الأسبوعي]]/6</f>
        <v>4</v>
      </c>
    </row>
    <row r="7" spans="1:7" ht="30" customHeight="1" x14ac:dyDescent="0.25">
      <c r="A7" s="5" t="s">
        <v>4</v>
      </c>
      <c r="B7" s="5">
        <v>169</v>
      </c>
      <c r="C7" s="5">
        <v>0</v>
      </c>
      <c r="D7" s="5">
        <f>TypesTable3[[#This Row],[المستهدف]]-TypesTable3[[#This Row],[المنفذ]]</f>
        <v>169</v>
      </c>
      <c r="E7" s="7">
        <f>TypesTable3[[#This Row],[المنفذ]]/TypesTable3[[#This Row],[المستهدف]]</f>
        <v>0</v>
      </c>
      <c r="F7" s="6">
        <f>TypesTable3[[#This Row],[المتبقى]]/8</f>
        <v>21.125</v>
      </c>
      <c r="G7" s="6">
        <f>TypesTable3[[#This Row],[المستهدف-الأسبوعي]]/6</f>
        <v>3.5208333333333335</v>
      </c>
    </row>
    <row r="8" spans="1:7" ht="30" customHeight="1" x14ac:dyDescent="0.25">
      <c r="A8" s="5" t="s">
        <v>5</v>
      </c>
      <c r="B8" s="5">
        <v>76</v>
      </c>
      <c r="C8" s="5">
        <v>0</v>
      </c>
      <c r="D8" s="5">
        <f>TypesTable3[[#This Row],[المستهدف]]-TypesTable3[[#This Row],[المنفذ]]</f>
        <v>76</v>
      </c>
      <c r="E8" s="7">
        <f>TypesTable3[[#This Row],[المنفذ]]/TypesTable3[[#This Row],[المستهدف]]</f>
        <v>0</v>
      </c>
      <c r="F8" s="6">
        <f>TypesTable3[[#This Row],[المتبقى]]/8</f>
        <v>9.5</v>
      </c>
      <c r="G8" s="6">
        <f>TypesTable3[[#This Row],[المستهدف-الأسبوعي]]/6</f>
        <v>1.5833333333333333</v>
      </c>
    </row>
    <row r="9" spans="1:7" ht="30" customHeight="1" x14ac:dyDescent="0.25">
      <c r="A9" s="5" t="s">
        <v>6</v>
      </c>
      <c r="B9" s="5">
        <v>160</v>
      </c>
      <c r="C9" s="5">
        <v>0</v>
      </c>
      <c r="D9" s="5">
        <f>TypesTable3[[#This Row],[المستهدف]]-TypesTable3[[#This Row],[المنفذ]]</f>
        <v>160</v>
      </c>
      <c r="E9" s="7">
        <f>TypesTable3[[#This Row],[المنفذ]]/TypesTable3[[#This Row],[المستهدف]]</f>
        <v>0</v>
      </c>
      <c r="F9" s="6">
        <f>TypesTable3[[#This Row],[المتبقى]]/8</f>
        <v>20</v>
      </c>
      <c r="G9" s="6">
        <f>TypesTable3[[#This Row],[المستهدف-الأسبوعي]]/6</f>
        <v>3.3333333333333335</v>
      </c>
    </row>
    <row r="10" spans="1:7" ht="30" customHeight="1" x14ac:dyDescent="0.25">
      <c r="A10" s="5" t="s">
        <v>7</v>
      </c>
      <c r="B10" s="5">
        <v>128</v>
      </c>
      <c r="C10" s="5">
        <v>0</v>
      </c>
      <c r="D10" s="5">
        <f>TypesTable3[[#This Row],[المستهدف]]-TypesTable3[[#This Row],[المنفذ]]</f>
        <v>128</v>
      </c>
      <c r="E10" s="7">
        <f>TypesTable3[[#This Row],[المنفذ]]/TypesTable3[[#This Row],[المستهدف]]</f>
        <v>0</v>
      </c>
      <c r="F10" s="6">
        <f>TypesTable3[[#This Row],[المتبقى]]/8</f>
        <v>16</v>
      </c>
      <c r="G10" s="6">
        <f>TypesTable3[[#This Row],[المستهدف-الأسبوعي]]/6</f>
        <v>2.6666666666666665</v>
      </c>
    </row>
    <row r="11" spans="1:7" ht="30" customHeight="1" x14ac:dyDescent="0.25">
      <c r="A11" s="5" t="s">
        <v>8</v>
      </c>
      <c r="B11" s="5">
        <v>83</v>
      </c>
      <c r="C11" s="5">
        <v>0</v>
      </c>
      <c r="D11" s="5">
        <f>TypesTable3[[#This Row],[المستهدف]]-TypesTable3[[#This Row],[المنفذ]]</f>
        <v>83</v>
      </c>
      <c r="E11" s="7">
        <f>TypesTable3[[#This Row],[المنفذ]]/TypesTable3[[#This Row],[المستهدف]]</f>
        <v>0</v>
      </c>
      <c r="F11" s="6">
        <f>TypesTable3[[#This Row],[المتبقى]]/8</f>
        <v>10.375</v>
      </c>
      <c r="G11" s="6">
        <f>TypesTable3[[#This Row],[المستهدف-الأسبوعي]]/6</f>
        <v>1.7291666666666667</v>
      </c>
    </row>
    <row r="12" spans="1:7" ht="30" customHeight="1" x14ac:dyDescent="0.25">
      <c r="A12" s="5" t="s">
        <v>9</v>
      </c>
      <c r="B12" s="5">
        <v>52</v>
      </c>
      <c r="C12" s="5">
        <v>0</v>
      </c>
      <c r="D12" s="5">
        <f>TypesTable3[[#This Row],[المستهدف]]-TypesTable3[[#This Row],[المنفذ]]</f>
        <v>52</v>
      </c>
      <c r="E12" s="7">
        <f>TypesTable3[[#This Row],[المنفذ]]/TypesTable3[[#This Row],[المستهدف]]</f>
        <v>0</v>
      </c>
      <c r="F12" s="6">
        <f>TypesTable3[[#This Row],[المتبقى]]/8</f>
        <v>6.5</v>
      </c>
      <c r="G12" s="6">
        <f>TypesTable3[[#This Row],[المستهدف-الأسبوعي]]/6</f>
        <v>1.0833333333333333</v>
      </c>
    </row>
    <row r="13" spans="1:7" ht="30" customHeight="1" x14ac:dyDescent="0.25">
      <c r="A13" s="5" t="s">
        <v>10</v>
      </c>
      <c r="B13" s="5">
        <v>104</v>
      </c>
      <c r="C13" s="5">
        <v>0</v>
      </c>
      <c r="D13" s="5">
        <f>TypesTable3[[#This Row],[المستهدف]]-TypesTable3[[#This Row],[المنفذ]]</f>
        <v>104</v>
      </c>
      <c r="E13" s="7">
        <f>TypesTable3[[#This Row],[المنفذ]]/TypesTable3[[#This Row],[المستهدف]]</f>
        <v>0</v>
      </c>
      <c r="F13" s="6">
        <f>TypesTable3[[#This Row],[المتبقى]]/8</f>
        <v>13</v>
      </c>
      <c r="G13" s="6">
        <f>TypesTable3[[#This Row],[المستهدف-الأسبوعي]]/6</f>
        <v>2.1666666666666665</v>
      </c>
    </row>
    <row r="14" spans="1:7" ht="30" customHeight="1" x14ac:dyDescent="0.25">
      <c r="A14" s="3" t="s">
        <v>55</v>
      </c>
      <c r="B14" s="3">
        <f>SUBTOTAL(109,B3:B13)</f>
        <v>1343</v>
      </c>
      <c r="C14" s="3">
        <f t="shared" ref="C14" si="0">SUBTOTAL(109,C3:C13)</f>
        <v>0</v>
      </c>
      <c r="D14" s="3">
        <f>TypesTable3[[#This Row],[المستهدف]]-TypesTable3[[#This Row],[المنفذ]]</f>
        <v>1343</v>
      </c>
      <c r="E14" s="8">
        <f>TypesTable3[[#This Row],[المنفذ]]/TypesTable3[[#This Row],[المستهدف]]</f>
        <v>0</v>
      </c>
      <c r="F14" s="9">
        <f>TypesTable3[[#This Row],[المتبقى]]/8</f>
        <v>167.875</v>
      </c>
      <c r="G14" s="9">
        <f>TypesTable3[[#This Row],[المستهدف-الأسبوعي]]/6</f>
        <v>27.979166666666668</v>
      </c>
    </row>
    <row r="15" spans="1:7" ht="18" customHeight="1" x14ac:dyDescent="0.25">
      <c r="A15" s="4"/>
      <c r="B15" s="4"/>
      <c r="C15" s="4"/>
      <c r="D15" s="4"/>
      <c r="E15" s="4"/>
      <c r="F15" s="4"/>
      <c r="G15" s="4"/>
    </row>
  </sheetData>
  <mergeCells count="1">
    <mergeCell ref="A1:G1"/>
  </mergeCells>
  <printOptions horizontalCentered="1" verticalCentered="1"/>
  <pageMargins left="0.15748031496063" right="0.15748031496063" top="0.74803149606299202" bottom="0.74803149606299202" header="0.31496062992126" footer="0.31496062992126"/>
  <pageSetup paperSize="9" scale="6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workbookViewId="0">
      <selection activeCell="A17" sqref="A17"/>
    </sheetView>
  </sheetViews>
  <sheetFormatPr defaultRowHeight="15" x14ac:dyDescent="0.25"/>
  <cols>
    <col min="1" max="1" width="36.85546875" style="2" bestFit="1" customWidth="1"/>
    <col min="2" max="2" width="11.28515625" style="2" bestFit="1" customWidth="1"/>
    <col min="3" max="3" width="6.85546875" style="2" bestFit="1" customWidth="1"/>
    <col min="4" max="4" width="8.42578125" style="2" bestFit="1" customWidth="1"/>
    <col min="5" max="5" width="11.5703125" style="2" bestFit="1" customWidth="1"/>
    <col min="6" max="6" width="22.140625" style="2" bestFit="1" customWidth="1"/>
    <col min="7" max="7" width="19.85546875" style="2" bestFit="1" customWidth="1"/>
    <col min="8" max="16384" width="9.140625" style="2"/>
  </cols>
  <sheetData>
    <row r="1" spans="1:7" ht="33.75" x14ac:dyDescent="0.25">
      <c r="A1" s="16" t="s">
        <v>64</v>
      </c>
      <c r="B1" s="16"/>
      <c r="C1" s="16"/>
      <c r="D1" s="16"/>
      <c r="E1" s="16"/>
      <c r="F1" s="16"/>
      <c r="G1" s="16"/>
    </row>
    <row r="2" spans="1:7" ht="30" customHeight="1" x14ac:dyDescent="0.25">
      <c r="A2" s="3" t="s">
        <v>57</v>
      </c>
      <c r="B2" s="3" t="s">
        <v>61</v>
      </c>
      <c r="C2" s="3" t="s">
        <v>65</v>
      </c>
      <c r="D2" s="3" t="s">
        <v>62</v>
      </c>
      <c r="E2" s="3" t="s">
        <v>63</v>
      </c>
      <c r="F2" s="3" t="s">
        <v>59</v>
      </c>
      <c r="G2" s="3" t="s">
        <v>60</v>
      </c>
    </row>
    <row r="3" spans="1:7" ht="30" customHeight="1" x14ac:dyDescent="0.25">
      <c r="A3" s="5" t="s">
        <v>11</v>
      </c>
      <c r="B3" s="5">
        <v>73</v>
      </c>
      <c r="C3" s="5">
        <v>0</v>
      </c>
      <c r="D3" s="5">
        <f>B3-C3</f>
        <v>73</v>
      </c>
      <c r="E3" s="12">
        <f>C3/B3</f>
        <v>0</v>
      </c>
      <c r="F3" s="6">
        <f>D3/8</f>
        <v>9.125</v>
      </c>
      <c r="G3" s="6">
        <f>F3/2</f>
        <v>4.5625</v>
      </c>
    </row>
    <row r="4" spans="1:7" ht="30" customHeight="1" x14ac:dyDescent="0.25">
      <c r="A4" s="11" t="s">
        <v>12</v>
      </c>
      <c r="B4" s="11">
        <v>130</v>
      </c>
      <c r="C4" s="11">
        <v>0</v>
      </c>
      <c r="D4" s="5">
        <f t="shared" ref="D4:D16" si="0">B4-C4</f>
        <v>130</v>
      </c>
      <c r="E4" s="12">
        <f t="shared" ref="E4:E16" si="1">C4/B4</f>
        <v>0</v>
      </c>
      <c r="F4" s="6">
        <f t="shared" ref="F4:F16" si="2">D4/8</f>
        <v>16.25</v>
      </c>
      <c r="G4" s="6">
        <f t="shared" ref="G4:G17" si="3">F4/2</f>
        <v>8.125</v>
      </c>
    </row>
    <row r="5" spans="1:7" ht="30" customHeight="1" x14ac:dyDescent="0.25">
      <c r="A5" s="5" t="s">
        <v>13</v>
      </c>
      <c r="B5" s="5">
        <v>92</v>
      </c>
      <c r="C5" s="5">
        <v>3</v>
      </c>
      <c r="D5" s="5">
        <f t="shared" si="0"/>
        <v>89</v>
      </c>
      <c r="E5" s="12">
        <f t="shared" si="1"/>
        <v>3.2608695652173912E-2</v>
      </c>
      <c r="F5" s="6">
        <f t="shared" si="2"/>
        <v>11.125</v>
      </c>
      <c r="G5" s="6">
        <f t="shared" si="3"/>
        <v>5.5625</v>
      </c>
    </row>
    <row r="6" spans="1:7" ht="30" customHeight="1" x14ac:dyDescent="0.25">
      <c r="A6" s="11" t="s">
        <v>14</v>
      </c>
      <c r="B6" s="11">
        <v>92</v>
      </c>
      <c r="C6" s="11">
        <v>0</v>
      </c>
      <c r="D6" s="5">
        <f t="shared" si="0"/>
        <v>92</v>
      </c>
      <c r="E6" s="12">
        <f t="shared" si="1"/>
        <v>0</v>
      </c>
      <c r="F6" s="6">
        <f t="shared" si="2"/>
        <v>11.5</v>
      </c>
      <c r="G6" s="6">
        <f t="shared" si="3"/>
        <v>5.75</v>
      </c>
    </row>
    <row r="7" spans="1:7" ht="30" customHeight="1" x14ac:dyDescent="0.25">
      <c r="A7" s="5" t="s">
        <v>15</v>
      </c>
      <c r="B7" s="5">
        <v>185</v>
      </c>
      <c r="C7" s="5">
        <v>0</v>
      </c>
      <c r="D7" s="5">
        <f t="shared" si="0"/>
        <v>185</v>
      </c>
      <c r="E7" s="12">
        <f t="shared" si="1"/>
        <v>0</v>
      </c>
      <c r="F7" s="6">
        <f t="shared" si="2"/>
        <v>23.125</v>
      </c>
      <c r="G7" s="6">
        <f t="shared" si="3"/>
        <v>11.5625</v>
      </c>
    </row>
    <row r="8" spans="1:7" ht="30" customHeight="1" x14ac:dyDescent="0.25">
      <c r="A8" s="11" t="s">
        <v>16</v>
      </c>
      <c r="B8" s="11">
        <v>66</v>
      </c>
      <c r="C8" s="11">
        <v>0</v>
      </c>
      <c r="D8" s="5">
        <f t="shared" si="0"/>
        <v>66</v>
      </c>
      <c r="E8" s="12">
        <f t="shared" si="1"/>
        <v>0</v>
      </c>
      <c r="F8" s="6">
        <f t="shared" si="2"/>
        <v>8.25</v>
      </c>
      <c r="G8" s="6">
        <f t="shared" si="3"/>
        <v>4.125</v>
      </c>
    </row>
    <row r="9" spans="1:7" ht="30" customHeight="1" x14ac:dyDescent="0.25">
      <c r="A9" s="5" t="s">
        <v>17</v>
      </c>
      <c r="B9" s="5">
        <v>90</v>
      </c>
      <c r="C9" s="5">
        <v>0</v>
      </c>
      <c r="D9" s="5">
        <f t="shared" si="0"/>
        <v>90</v>
      </c>
      <c r="E9" s="12">
        <f t="shared" si="1"/>
        <v>0</v>
      </c>
      <c r="F9" s="6">
        <f t="shared" si="2"/>
        <v>11.25</v>
      </c>
      <c r="G9" s="6">
        <f t="shared" si="3"/>
        <v>5.625</v>
      </c>
    </row>
    <row r="10" spans="1:7" ht="30" customHeight="1" x14ac:dyDescent="0.25">
      <c r="A10" s="11" t="s">
        <v>18</v>
      </c>
      <c r="B10" s="11">
        <v>76</v>
      </c>
      <c r="C10" s="11">
        <v>0</v>
      </c>
      <c r="D10" s="5">
        <f t="shared" si="0"/>
        <v>76</v>
      </c>
      <c r="E10" s="12">
        <f t="shared" si="1"/>
        <v>0</v>
      </c>
      <c r="F10" s="6">
        <f t="shared" si="2"/>
        <v>9.5</v>
      </c>
      <c r="G10" s="6">
        <f t="shared" si="3"/>
        <v>4.75</v>
      </c>
    </row>
    <row r="11" spans="1:7" ht="30" customHeight="1" x14ac:dyDescent="0.25">
      <c r="A11" s="5" t="s">
        <v>19</v>
      </c>
      <c r="B11" s="5">
        <v>87</v>
      </c>
      <c r="C11" s="5">
        <v>0</v>
      </c>
      <c r="D11" s="5">
        <f t="shared" si="0"/>
        <v>87</v>
      </c>
      <c r="E11" s="12">
        <f t="shared" si="1"/>
        <v>0</v>
      </c>
      <c r="F11" s="6">
        <f t="shared" si="2"/>
        <v>10.875</v>
      </c>
      <c r="G11" s="6">
        <f t="shared" si="3"/>
        <v>5.4375</v>
      </c>
    </row>
    <row r="12" spans="1:7" ht="30" customHeight="1" x14ac:dyDescent="0.25">
      <c r="A12" s="11" t="s">
        <v>20</v>
      </c>
      <c r="B12" s="11">
        <v>58</v>
      </c>
      <c r="C12" s="11">
        <v>0</v>
      </c>
      <c r="D12" s="5">
        <f t="shared" si="0"/>
        <v>58</v>
      </c>
      <c r="E12" s="12">
        <f t="shared" si="1"/>
        <v>0</v>
      </c>
      <c r="F12" s="6">
        <f t="shared" si="2"/>
        <v>7.25</v>
      </c>
      <c r="G12" s="6">
        <f t="shared" si="3"/>
        <v>3.625</v>
      </c>
    </row>
    <row r="13" spans="1:7" ht="30" customHeight="1" x14ac:dyDescent="0.25">
      <c r="A13" s="5" t="s">
        <v>21</v>
      </c>
      <c r="B13" s="5">
        <v>52</v>
      </c>
      <c r="C13" s="5">
        <v>0</v>
      </c>
      <c r="D13" s="5">
        <f t="shared" si="0"/>
        <v>52</v>
      </c>
      <c r="E13" s="12">
        <f t="shared" si="1"/>
        <v>0</v>
      </c>
      <c r="F13" s="6">
        <f t="shared" si="2"/>
        <v>6.5</v>
      </c>
      <c r="G13" s="6">
        <f t="shared" si="3"/>
        <v>3.25</v>
      </c>
    </row>
    <row r="14" spans="1:7" ht="30" customHeight="1" x14ac:dyDescent="0.25">
      <c r="A14" s="11" t="s">
        <v>22</v>
      </c>
      <c r="B14" s="11">
        <v>49</v>
      </c>
      <c r="C14" s="11">
        <v>0</v>
      </c>
      <c r="D14" s="5">
        <f t="shared" si="0"/>
        <v>49</v>
      </c>
      <c r="E14" s="12">
        <f t="shared" si="1"/>
        <v>0</v>
      </c>
      <c r="F14" s="6">
        <f t="shared" si="2"/>
        <v>6.125</v>
      </c>
      <c r="G14" s="6">
        <f t="shared" si="3"/>
        <v>3.0625</v>
      </c>
    </row>
    <row r="15" spans="1:7" ht="30" customHeight="1" x14ac:dyDescent="0.25">
      <c r="A15" s="5" t="s">
        <v>23</v>
      </c>
      <c r="B15" s="5">
        <v>47</v>
      </c>
      <c r="C15" s="5">
        <v>0</v>
      </c>
      <c r="D15" s="5">
        <f t="shared" si="0"/>
        <v>47</v>
      </c>
      <c r="E15" s="12">
        <f t="shared" si="1"/>
        <v>0</v>
      </c>
      <c r="F15" s="6">
        <f t="shared" si="2"/>
        <v>5.875</v>
      </c>
      <c r="G15" s="6">
        <f t="shared" si="3"/>
        <v>2.9375</v>
      </c>
    </row>
    <row r="16" spans="1:7" ht="30" customHeight="1" x14ac:dyDescent="0.25">
      <c r="A16" s="11" t="s">
        <v>24</v>
      </c>
      <c r="B16" s="11">
        <v>66</v>
      </c>
      <c r="C16" s="11">
        <v>0</v>
      </c>
      <c r="D16" s="5">
        <f t="shared" si="0"/>
        <v>66</v>
      </c>
      <c r="E16" s="12">
        <f t="shared" si="1"/>
        <v>0</v>
      </c>
      <c r="F16" s="6">
        <f t="shared" si="2"/>
        <v>8.25</v>
      </c>
      <c r="G16" s="6">
        <f t="shared" si="3"/>
        <v>4.125</v>
      </c>
    </row>
    <row r="17" spans="1:7" ht="30" customHeight="1" x14ac:dyDescent="0.25">
      <c r="A17" s="3" t="s">
        <v>55</v>
      </c>
      <c r="B17" s="3">
        <f>SUBTOTAL(109,B3:B16)</f>
        <v>1163</v>
      </c>
      <c r="C17" s="3">
        <f t="shared" ref="C17:D17" si="4">SUBTOTAL(109,C3:C16)</f>
        <v>3</v>
      </c>
      <c r="D17" s="3">
        <f t="shared" si="4"/>
        <v>1160</v>
      </c>
      <c r="E17" s="15">
        <f t="shared" ref="E17" si="5">C17/B17</f>
        <v>2.5795356835769563E-3</v>
      </c>
      <c r="F17" s="14">
        <f t="shared" ref="F17" si="6">D17/8</f>
        <v>145</v>
      </c>
      <c r="G17" s="14">
        <f t="shared" si="3"/>
        <v>72.5</v>
      </c>
    </row>
  </sheetData>
  <mergeCells count="1">
    <mergeCell ref="A1:G1"/>
  </mergeCells>
  <printOptions horizontalCentered="1" verticalCentered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workbookViewId="0">
      <selection sqref="A1:XFD1048576"/>
    </sheetView>
  </sheetViews>
  <sheetFormatPr defaultRowHeight="15" x14ac:dyDescent="0.25"/>
  <cols>
    <col min="1" max="1" width="38.42578125" style="2" bestFit="1" customWidth="1"/>
    <col min="2" max="2" width="11.28515625" style="2" bestFit="1" customWidth="1"/>
    <col min="3" max="3" width="6.85546875" style="2" bestFit="1" customWidth="1"/>
    <col min="4" max="4" width="8.42578125" style="2" bestFit="1" customWidth="1"/>
    <col min="5" max="5" width="11.5703125" style="2" bestFit="1" customWidth="1"/>
    <col min="6" max="6" width="22.140625" style="2" bestFit="1" customWidth="1"/>
    <col min="7" max="7" width="19.85546875" style="2" bestFit="1" customWidth="1"/>
    <col min="8" max="16384" width="9.140625" style="2"/>
  </cols>
  <sheetData>
    <row r="1" spans="1:7" ht="30" customHeight="1" x14ac:dyDescent="0.25">
      <c r="A1" s="16" t="s">
        <v>64</v>
      </c>
      <c r="B1" s="16"/>
      <c r="C1" s="16"/>
      <c r="D1" s="16"/>
      <c r="E1" s="16"/>
      <c r="F1" s="16"/>
      <c r="G1" s="16"/>
    </row>
    <row r="2" spans="1:7" ht="30" customHeight="1" x14ac:dyDescent="0.25">
      <c r="A2" s="3" t="s">
        <v>58</v>
      </c>
      <c r="B2" s="3" t="s">
        <v>61</v>
      </c>
      <c r="C2" s="3" t="s">
        <v>65</v>
      </c>
      <c r="D2" s="3" t="s">
        <v>62</v>
      </c>
      <c r="E2" s="3" t="s">
        <v>63</v>
      </c>
      <c r="F2" s="3" t="s">
        <v>59</v>
      </c>
      <c r="G2" s="3" t="s">
        <v>60</v>
      </c>
    </row>
    <row r="3" spans="1:7" ht="30" customHeight="1" x14ac:dyDescent="0.25">
      <c r="A3" s="5" t="s">
        <v>25</v>
      </c>
      <c r="B3" s="5">
        <v>286</v>
      </c>
      <c r="C3" s="5">
        <v>13</v>
      </c>
      <c r="D3" s="5">
        <f>B3-C3</f>
        <v>273</v>
      </c>
      <c r="E3" s="12">
        <f>C3/B3</f>
        <v>4.5454545454545456E-2</v>
      </c>
      <c r="F3" s="6">
        <f>D3/8</f>
        <v>34.125</v>
      </c>
      <c r="G3" s="6">
        <f>F3/6</f>
        <v>5.6875</v>
      </c>
    </row>
    <row r="4" spans="1:7" ht="30" customHeight="1" x14ac:dyDescent="0.25">
      <c r="A4" s="11" t="s">
        <v>26</v>
      </c>
      <c r="B4" s="11">
        <v>283</v>
      </c>
      <c r="C4" s="11">
        <v>0</v>
      </c>
      <c r="D4" s="5">
        <f t="shared" ref="D4:D15" si="0">B4-C4</f>
        <v>283</v>
      </c>
      <c r="E4" s="12">
        <f t="shared" ref="E4:E16" si="1">C4/B4</f>
        <v>0</v>
      </c>
      <c r="F4" s="6">
        <f t="shared" ref="F4:F15" si="2">D4/8</f>
        <v>35.375</v>
      </c>
      <c r="G4" s="6">
        <f t="shared" ref="G4:G16" si="3">F4/6</f>
        <v>5.895833333333333</v>
      </c>
    </row>
    <row r="5" spans="1:7" ht="30" customHeight="1" x14ac:dyDescent="0.25">
      <c r="A5" s="5" t="s">
        <v>27</v>
      </c>
      <c r="B5" s="5">
        <v>272</v>
      </c>
      <c r="C5" s="5">
        <v>3</v>
      </c>
      <c r="D5" s="5">
        <f t="shared" si="0"/>
        <v>269</v>
      </c>
      <c r="E5" s="12">
        <f t="shared" si="1"/>
        <v>1.1029411764705883E-2</v>
      </c>
      <c r="F5" s="6">
        <f t="shared" si="2"/>
        <v>33.625</v>
      </c>
      <c r="G5" s="6">
        <f t="shared" si="3"/>
        <v>5.604166666666667</v>
      </c>
    </row>
    <row r="6" spans="1:7" ht="30" customHeight="1" x14ac:dyDescent="0.25">
      <c r="A6" s="11" t="s">
        <v>28</v>
      </c>
      <c r="B6" s="11">
        <v>135</v>
      </c>
      <c r="C6" s="11">
        <v>0</v>
      </c>
      <c r="D6" s="5">
        <f t="shared" si="0"/>
        <v>135</v>
      </c>
      <c r="E6" s="12">
        <f t="shared" si="1"/>
        <v>0</v>
      </c>
      <c r="F6" s="6">
        <f t="shared" si="2"/>
        <v>16.875</v>
      </c>
      <c r="G6" s="6">
        <f t="shared" si="3"/>
        <v>2.8125</v>
      </c>
    </row>
    <row r="7" spans="1:7" ht="30" customHeight="1" x14ac:dyDescent="0.25">
      <c r="A7" s="5" t="s">
        <v>29</v>
      </c>
      <c r="B7" s="5">
        <v>192</v>
      </c>
      <c r="C7" s="5">
        <v>0</v>
      </c>
      <c r="D7" s="5">
        <f t="shared" si="0"/>
        <v>192</v>
      </c>
      <c r="E7" s="12">
        <f t="shared" si="1"/>
        <v>0</v>
      </c>
      <c r="F7" s="6">
        <f t="shared" si="2"/>
        <v>24</v>
      </c>
      <c r="G7" s="6">
        <f t="shared" si="3"/>
        <v>4</v>
      </c>
    </row>
    <row r="8" spans="1:7" ht="30" customHeight="1" x14ac:dyDescent="0.25">
      <c r="A8" s="11" t="s">
        <v>30</v>
      </c>
      <c r="B8" s="11">
        <v>177</v>
      </c>
      <c r="C8" s="11">
        <v>0</v>
      </c>
      <c r="D8" s="5">
        <f t="shared" si="0"/>
        <v>177</v>
      </c>
      <c r="E8" s="12">
        <f t="shared" si="1"/>
        <v>0</v>
      </c>
      <c r="F8" s="6">
        <f t="shared" si="2"/>
        <v>22.125</v>
      </c>
      <c r="G8" s="6">
        <f t="shared" si="3"/>
        <v>3.6875</v>
      </c>
    </row>
    <row r="9" spans="1:7" ht="30" customHeight="1" x14ac:dyDescent="0.25">
      <c r="A9" s="5" t="s">
        <v>31</v>
      </c>
      <c r="B9" s="5">
        <v>377</v>
      </c>
      <c r="C9" s="5">
        <v>0</v>
      </c>
      <c r="D9" s="5">
        <f t="shared" si="0"/>
        <v>377</v>
      </c>
      <c r="E9" s="12">
        <f t="shared" si="1"/>
        <v>0</v>
      </c>
      <c r="F9" s="6">
        <f t="shared" si="2"/>
        <v>47.125</v>
      </c>
      <c r="G9" s="6">
        <f t="shared" si="3"/>
        <v>7.854166666666667</v>
      </c>
    </row>
    <row r="10" spans="1:7" ht="30" customHeight="1" x14ac:dyDescent="0.25">
      <c r="A10" s="11" t="s">
        <v>32</v>
      </c>
      <c r="B10" s="11">
        <v>52</v>
      </c>
      <c r="C10" s="11">
        <v>0</v>
      </c>
      <c r="D10" s="5">
        <f t="shared" si="0"/>
        <v>52</v>
      </c>
      <c r="E10" s="12">
        <f t="shared" si="1"/>
        <v>0</v>
      </c>
      <c r="F10" s="6">
        <f t="shared" si="2"/>
        <v>6.5</v>
      </c>
      <c r="G10" s="6">
        <f t="shared" si="3"/>
        <v>1.0833333333333333</v>
      </c>
    </row>
    <row r="11" spans="1:7" ht="30" customHeight="1" x14ac:dyDescent="0.25">
      <c r="A11" s="5" t="s">
        <v>33</v>
      </c>
      <c r="B11" s="5">
        <v>137</v>
      </c>
      <c r="C11" s="5">
        <v>0</v>
      </c>
      <c r="D11" s="5">
        <f t="shared" si="0"/>
        <v>137</v>
      </c>
      <c r="E11" s="12">
        <f t="shared" si="1"/>
        <v>0</v>
      </c>
      <c r="F11" s="6">
        <f t="shared" si="2"/>
        <v>17.125</v>
      </c>
      <c r="G11" s="6">
        <f t="shared" si="3"/>
        <v>2.8541666666666665</v>
      </c>
    </row>
    <row r="12" spans="1:7" ht="30" customHeight="1" x14ac:dyDescent="0.25">
      <c r="A12" s="11" t="s">
        <v>34</v>
      </c>
      <c r="B12" s="11">
        <v>72</v>
      </c>
      <c r="C12" s="11">
        <v>0</v>
      </c>
      <c r="D12" s="5">
        <f t="shared" si="0"/>
        <v>72</v>
      </c>
      <c r="E12" s="12">
        <f t="shared" si="1"/>
        <v>0</v>
      </c>
      <c r="F12" s="6">
        <f t="shared" si="2"/>
        <v>9</v>
      </c>
      <c r="G12" s="6">
        <f t="shared" si="3"/>
        <v>1.5</v>
      </c>
    </row>
    <row r="13" spans="1:7" ht="30" customHeight="1" x14ac:dyDescent="0.25">
      <c r="A13" s="5" t="s">
        <v>35</v>
      </c>
      <c r="B13" s="5">
        <v>220</v>
      </c>
      <c r="C13" s="5">
        <v>0</v>
      </c>
      <c r="D13" s="5">
        <f t="shared" si="0"/>
        <v>220</v>
      </c>
      <c r="E13" s="12">
        <f t="shared" si="1"/>
        <v>0</v>
      </c>
      <c r="F13" s="6">
        <f t="shared" si="2"/>
        <v>27.5</v>
      </c>
      <c r="G13" s="6">
        <f t="shared" si="3"/>
        <v>4.583333333333333</v>
      </c>
    </row>
    <row r="14" spans="1:7" ht="30" customHeight="1" x14ac:dyDescent="0.25">
      <c r="A14" s="11" t="s">
        <v>36</v>
      </c>
      <c r="B14" s="11">
        <v>239</v>
      </c>
      <c r="C14" s="11">
        <v>0</v>
      </c>
      <c r="D14" s="5">
        <f t="shared" si="0"/>
        <v>239</v>
      </c>
      <c r="E14" s="12">
        <f t="shared" si="1"/>
        <v>0</v>
      </c>
      <c r="F14" s="6">
        <f t="shared" si="2"/>
        <v>29.875</v>
      </c>
      <c r="G14" s="6">
        <f t="shared" si="3"/>
        <v>4.979166666666667</v>
      </c>
    </row>
    <row r="15" spans="1:7" ht="30" customHeight="1" x14ac:dyDescent="0.25">
      <c r="A15" s="5" t="s">
        <v>37</v>
      </c>
      <c r="B15" s="5">
        <v>166</v>
      </c>
      <c r="C15" s="5">
        <v>0</v>
      </c>
      <c r="D15" s="5">
        <f t="shared" si="0"/>
        <v>166</v>
      </c>
      <c r="E15" s="12">
        <f t="shared" si="1"/>
        <v>0</v>
      </c>
      <c r="F15" s="6">
        <f t="shared" si="2"/>
        <v>20.75</v>
      </c>
      <c r="G15" s="6">
        <f t="shared" si="3"/>
        <v>3.4583333333333335</v>
      </c>
    </row>
    <row r="16" spans="1:7" ht="30" customHeight="1" x14ac:dyDescent="0.25">
      <c r="A16" s="3" t="s">
        <v>66</v>
      </c>
      <c r="B16" s="3">
        <f>SUBTOTAL(109,B3:B15)</f>
        <v>2608</v>
      </c>
      <c r="C16" s="3">
        <f t="shared" ref="C16:D16" si="4">SUBTOTAL(109,C3:C15)</f>
        <v>16</v>
      </c>
      <c r="D16" s="3">
        <f t="shared" si="4"/>
        <v>2592</v>
      </c>
      <c r="E16" s="15">
        <f t="shared" si="1"/>
        <v>6.1349693251533744E-3</v>
      </c>
      <c r="F16" s="14">
        <f t="shared" ref="F16" si="5">D16/8</f>
        <v>324</v>
      </c>
      <c r="G16" s="14">
        <f t="shared" si="3"/>
        <v>54</v>
      </c>
    </row>
  </sheetData>
  <mergeCells count="1">
    <mergeCell ref="A1:G1"/>
  </mergeCells>
  <printOptions horizontalCentered="1" verticalCentered="1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rightToLeft="1" tabSelected="1" topLeftCell="A13" zoomScaleNormal="100" workbookViewId="0">
      <selection activeCell="C22" sqref="C22"/>
    </sheetView>
  </sheetViews>
  <sheetFormatPr defaultRowHeight="15" x14ac:dyDescent="0.25"/>
  <cols>
    <col min="1" max="1" width="39.85546875" style="2" bestFit="1" customWidth="1"/>
    <col min="2" max="2" width="10.5703125" style="2" bestFit="1" customWidth="1"/>
    <col min="3" max="3" width="8.85546875" style="2" bestFit="1" customWidth="1"/>
    <col min="4" max="4" width="12.85546875" style="2" bestFit="1" customWidth="1"/>
    <col min="5" max="5" width="18.85546875" style="2" bestFit="1" customWidth="1"/>
    <col min="6" max="6" width="20.42578125" style="2" bestFit="1" customWidth="1"/>
    <col min="7" max="7" width="17.28515625" style="2" bestFit="1" customWidth="1"/>
    <col min="8" max="16384" width="9.140625" style="2"/>
  </cols>
  <sheetData>
    <row r="1" spans="1:7" ht="30" customHeight="1" x14ac:dyDescent="0.25">
      <c r="A1" s="17" t="s">
        <v>73</v>
      </c>
      <c r="B1" s="18"/>
      <c r="C1" s="18"/>
      <c r="D1" s="18"/>
      <c r="E1" s="18"/>
      <c r="F1" s="18"/>
      <c r="G1" s="19"/>
    </row>
    <row r="2" spans="1:7" ht="30" customHeight="1" x14ac:dyDescent="0.25">
      <c r="A2" s="3" t="s">
        <v>74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</row>
    <row r="3" spans="1:7" ht="30" customHeight="1" x14ac:dyDescent="0.25">
      <c r="A3" s="5" t="s">
        <v>38</v>
      </c>
      <c r="B3" s="5">
        <v>133</v>
      </c>
      <c r="C3" s="5">
        <v>0</v>
      </c>
      <c r="D3" s="5">
        <f>B3-C3</f>
        <v>133</v>
      </c>
      <c r="E3" s="10">
        <f>C3/B3</f>
        <v>0</v>
      </c>
      <c r="F3" s="6">
        <f>D3/8</f>
        <v>16.625</v>
      </c>
      <c r="G3" s="6">
        <f>F3/6</f>
        <v>2.7708333333333335</v>
      </c>
    </row>
    <row r="4" spans="1:7" ht="30" customHeight="1" x14ac:dyDescent="0.25">
      <c r="A4" s="11" t="s">
        <v>39</v>
      </c>
      <c r="B4" s="11">
        <v>89</v>
      </c>
      <c r="C4" s="11">
        <v>0</v>
      </c>
      <c r="D4" s="5">
        <f t="shared" ref="D4:D19" si="0">B4-C4</f>
        <v>89</v>
      </c>
      <c r="E4" s="10">
        <f t="shared" ref="E4:E19" si="1">C4/B4</f>
        <v>0</v>
      </c>
      <c r="F4" s="6">
        <f t="shared" ref="F4:F19" si="2">D4/8</f>
        <v>11.125</v>
      </c>
      <c r="G4" s="6">
        <f t="shared" ref="G4:G20" si="3">F4/6</f>
        <v>1.8541666666666667</v>
      </c>
    </row>
    <row r="5" spans="1:7" ht="30" customHeight="1" x14ac:dyDescent="0.25">
      <c r="A5" s="5" t="s">
        <v>40</v>
      </c>
      <c r="B5" s="5">
        <v>61</v>
      </c>
      <c r="C5" s="5">
        <v>7</v>
      </c>
      <c r="D5" s="5">
        <f t="shared" si="0"/>
        <v>54</v>
      </c>
      <c r="E5" s="10">
        <f t="shared" si="1"/>
        <v>0.11475409836065574</v>
      </c>
      <c r="F5" s="6">
        <f t="shared" si="2"/>
        <v>6.75</v>
      </c>
      <c r="G5" s="6">
        <f t="shared" si="3"/>
        <v>1.125</v>
      </c>
    </row>
    <row r="6" spans="1:7" ht="30" customHeight="1" x14ac:dyDescent="0.25">
      <c r="A6" s="11" t="s">
        <v>41</v>
      </c>
      <c r="B6" s="11">
        <v>68</v>
      </c>
      <c r="C6" s="11">
        <v>5</v>
      </c>
      <c r="D6" s="5">
        <f t="shared" si="0"/>
        <v>63</v>
      </c>
      <c r="E6" s="10">
        <f t="shared" si="1"/>
        <v>7.3529411764705885E-2</v>
      </c>
      <c r="F6" s="6">
        <f t="shared" si="2"/>
        <v>7.875</v>
      </c>
      <c r="G6" s="6">
        <f t="shared" si="3"/>
        <v>1.3125</v>
      </c>
    </row>
    <row r="7" spans="1:7" ht="30" customHeight="1" x14ac:dyDescent="0.25">
      <c r="A7" s="5" t="s">
        <v>42</v>
      </c>
      <c r="B7" s="5">
        <v>84</v>
      </c>
      <c r="C7" s="5">
        <v>0</v>
      </c>
      <c r="D7" s="5">
        <f t="shared" si="0"/>
        <v>84</v>
      </c>
      <c r="E7" s="10">
        <f t="shared" si="1"/>
        <v>0</v>
      </c>
      <c r="F7" s="6">
        <f t="shared" si="2"/>
        <v>10.5</v>
      </c>
      <c r="G7" s="6">
        <f t="shared" si="3"/>
        <v>1.75</v>
      </c>
    </row>
    <row r="8" spans="1:7" ht="30" customHeight="1" x14ac:dyDescent="0.25">
      <c r="A8" s="11" t="s">
        <v>43</v>
      </c>
      <c r="B8" s="11">
        <v>51</v>
      </c>
      <c r="C8" s="11">
        <v>0</v>
      </c>
      <c r="D8" s="5">
        <f t="shared" si="0"/>
        <v>51</v>
      </c>
      <c r="E8" s="10">
        <f t="shared" si="1"/>
        <v>0</v>
      </c>
      <c r="F8" s="6">
        <f t="shared" si="2"/>
        <v>6.375</v>
      </c>
      <c r="G8" s="6">
        <f t="shared" si="3"/>
        <v>1.0625</v>
      </c>
    </row>
    <row r="9" spans="1:7" ht="30" customHeight="1" x14ac:dyDescent="0.25">
      <c r="A9" s="5" t="s">
        <v>44</v>
      </c>
      <c r="B9" s="5">
        <v>111</v>
      </c>
      <c r="C9" s="5">
        <v>2</v>
      </c>
      <c r="D9" s="5">
        <f t="shared" si="0"/>
        <v>109</v>
      </c>
      <c r="E9" s="10">
        <f t="shared" si="1"/>
        <v>1.8018018018018018E-2</v>
      </c>
      <c r="F9" s="6">
        <f t="shared" si="2"/>
        <v>13.625</v>
      </c>
      <c r="G9" s="6">
        <f t="shared" si="3"/>
        <v>2.2708333333333335</v>
      </c>
    </row>
    <row r="10" spans="1:7" ht="30" customHeight="1" x14ac:dyDescent="0.25">
      <c r="A10" s="11" t="s">
        <v>45</v>
      </c>
      <c r="B10" s="11">
        <v>47</v>
      </c>
      <c r="C10" s="11">
        <v>3</v>
      </c>
      <c r="D10" s="5">
        <f t="shared" si="0"/>
        <v>44</v>
      </c>
      <c r="E10" s="10">
        <f t="shared" si="1"/>
        <v>6.3829787234042548E-2</v>
      </c>
      <c r="F10" s="6">
        <f t="shared" si="2"/>
        <v>5.5</v>
      </c>
      <c r="G10" s="6">
        <f t="shared" si="3"/>
        <v>0.91666666666666663</v>
      </c>
    </row>
    <row r="11" spans="1:7" ht="30" customHeight="1" x14ac:dyDescent="0.25">
      <c r="A11" s="5" t="s">
        <v>46</v>
      </c>
      <c r="B11" s="5">
        <v>87</v>
      </c>
      <c r="C11" s="5">
        <v>0</v>
      </c>
      <c r="D11" s="5">
        <f t="shared" si="0"/>
        <v>87</v>
      </c>
      <c r="E11" s="10">
        <f t="shared" si="1"/>
        <v>0</v>
      </c>
      <c r="F11" s="6">
        <f t="shared" si="2"/>
        <v>10.875</v>
      </c>
      <c r="G11" s="6">
        <f t="shared" si="3"/>
        <v>1.8125</v>
      </c>
    </row>
    <row r="12" spans="1:7" ht="30" customHeight="1" x14ac:dyDescent="0.25">
      <c r="A12" s="11" t="s">
        <v>47</v>
      </c>
      <c r="B12" s="11">
        <v>45</v>
      </c>
      <c r="C12" s="11">
        <v>0</v>
      </c>
      <c r="D12" s="5">
        <f t="shared" si="0"/>
        <v>45</v>
      </c>
      <c r="E12" s="10">
        <f t="shared" si="1"/>
        <v>0</v>
      </c>
      <c r="F12" s="6">
        <f t="shared" si="2"/>
        <v>5.625</v>
      </c>
      <c r="G12" s="6">
        <f t="shared" si="3"/>
        <v>0.9375</v>
      </c>
    </row>
    <row r="13" spans="1:7" ht="30" customHeight="1" x14ac:dyDescent="0.25">
      <c r="A13" s="5" t="s">
        <v>48</v>
      </c>
      <c r="B13" s="5">
        <v>143</v>
      </c>
      <c r="C13" s="5">
        <v>4</v>
      </c>
      <c r="D13" s="5">
        <f t="shared" si="0"/>
        <v>139</v>
      </c>
      <c r="E13" s="10">
        <f t="shared" si="1"/>
        <v>2.7972027972027972E-2</v>
      </c>
      <c r="F13" s="6">
        <f t="shared" si="2"/>
        <v>17.375</v>
      </c>
      <c r="G13" s="6">
        <f t="shared" si="3"/>
        <v>2.8958333333333335</v>
      </c>
    </row>
    <row r="14" spans="1:7" ht="30" customHeight="1" x14ac:dyDescent="0.25">
      <c r="A14" s="11" t="s">
        <v>49</v>
      </c>
      <c r="B14" s="11">
        <v>181</v>
      </c>
      <c r="C14" s="11">
        <v>0</v>
      </c>
      <c r="D14" s="5">
        <f t="shared" si="0"/>
        <v>181</v>
      </c>
      <c r="E14" s="10">
        <f t="shared" si="1"/>
        <v>0</v>
      </c>
      <c r="F14" s="6">
        <f t="shared" si="2"/>
        <v>22.625</v>
      </c>
      <c r="G14" s="6">
        <f t="shared" si="3"/>
        <v>3.7708333333333335</v>
      </c>
    </row>
    <row r="15" spans="1:7" ht="30" customHeight="1" x14ac:dyDescent="0.25">
      <c r="A15" s="5" t="s">
        <v>50</v>
      </c>
      <c r="B15" s="5">
        <v>89</v>
      </c>
      <c r="C15" s="5">
        <v>0</v>
      </c>
      <c r="D15" s="5">
        <f t="shared" si="0"/>
        <v>89</v>
      </c>
      <c r="E15" s="10">
        <f t="shared" si="1"/>
        <v>0</v>
      </c>
      <c r="F15" s="6">
        <f t="shared" si="2"/>
        <v>11.125</v>
      </c>
      <c r="G15" s="6">
        <f t="shared" si="3"/>
        <v>1.8541666666666667</v>
      </c>
    </row>
    <row r="16" spans="1:7" ht="30" customHeight="1" x14ac:dyDescent="0.25">
      <c r="A16" s="11" t="s">
        <v>51</v>
      </c>
      <c r="B16" s="11">
        <v>59</v>
      </c>
      <c r="C16" s="11">
        <v>0</v>
      </c>
      <c r="D16" s="5">
        <f t="shared" si="0"/>
        <v>59</v>
      </c>
      <c r="E16" s="10">
        <f t="shared" si="1"/>
        <v>0</v>
      </c>
      <c r="F16" s="6">
        <f t="shared" si="2"/>
        <v>7.375</v>
      </c>
      <c r="G16" s="6">
        <f t="shared" si="3"/>
        <v>1.2291666666666667</v>
      </c>
    </row>
    <row r="17" spans="1:7" ht="30" customHeight="1" x14ac:dyDescent="0.25">
      <c r="A17" s="5" t="s">
        <v>52</v>
      </c>
      <c r="B17" s="5">
        <v>127</v>
      </c>
      <c r="C17" s="5">
        <v>0</v>
      </c>
      <c r="D17" s="5">
        <f t="shared" si="0"/>
        <v>127</v>
      </c>
      <c r="E17" s="10">
        <f t="shared" si="1"/>
        <v>0</v>
      </c>
      <c r="F17" s="6">
        <f t="shared" si="2"/>
        <v>15.875</v>
      </c>
      <c r="G17" s="6">
        <f t="shared" si="3"/>
        <v>2.6458333333333335</v>
      </c>
    </row>
    <row r="18" spans="1:7" ht="30" customHeight="1" x14ac:dyDescent="0.25">
      <c r="A18" s="11" t="s">
        <v>53</v>
      </c>
      <c r="B18" s="11">
        <v>139</v>
      </c>
      <c r="C18" s="11">
        <v>1</v>
      </c>
      <c r="D18" s="5">
        <f t="shared" si="0"/>
        <v>138</v>
      </c>
      <c r="E18" s="10">
        <f t="shared" si="1"/>
        <v>7.1942446043165471E-3</v>
      </c>
      <c r="F18" s="6">
        <f t="shared" si="2"/>
        <v>17.25</v>
      </c>
      <c r="G18" s="6">
        <f t="shared" si="3"/>
        <v>2.875</v>
      </c>
    </row>
    <row r="19" spans="1:7" ht="30" customHeight="1" x14ac:dyDescent="0.25">
      <c r="A19" s="5" t="s">
        <v>54</v>
      </c>
      <c r="B19" s="5">
        <v>30</v>
      </c>
      <c r="C19" s="5">
        <v>0</v>
      </c>
      <c r="D19" s="5">
        <f t="shared" si="0"/>
        <v>30</v>
      </c>
      <c r="E19" s="10">
        <f t="shared" si="1"/>
        <v>0</v>
      </c>
      <c r="F19" s="6">
        <f t="shared" si="2"/>
        <v>3.75</v>
      </c>
      <c r="G19" s="6">
        <f t="shared" si="3"/>
        <v>0.625</v>
      </c>
    </row>
    <row r="20" spans="1:7" ht="30" customHeight="1" x14ac:dyDescent="0.25">
      <c r="A20" s="3" t="s">
        <v>75</v>
      </c>
      <c r="B20" s="3">
        <f>SUBTOTAL(109,B3:B19)</f>
        <v>1544</v>
      </c>
      <c r="C20" s="3">
        <f t="shared" ref="C20:D20" si="4">SUBTOTAL(109,C3:C19)</f>
        <v>22</v>
      </c>
      <c r="D20" s="3">
        <f t="shared" si="4"/>
        <v>1522</v>
      </c>
      <c r="E20" s="13">
        <f t="shared" ref="E20" si="5">C20/B20</f>
        <v>1.4248704663212436E-2</v>
      </c>
      <c r="F20" s="14">
        <f t="shared" ref="F20" si="6">D20/8</f>
        <v>190.25</v>
      </c>
      <c r="G20" s="14">
        <f t="shared" si="3"/>
        <v>31.708333333333332</v>
      </c>
    </row>
  </sheetData>
  <mergeCells count="1">
    <mergeCell ref="A1:G1"/>
  </mergeCells>
  <printOptions horizontalCentered="1" verticalCentered="1"/>
  <pageMargins left="0.7" right="0.7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دمياط</vt:lpstr>
      <vt:lpstr>شمال الدقهلية</vt:lpstr>
      <vt:lpstr>جنوب الدقهلية</vt:lpstr>
      <vt:lpstr>كفر الشيخ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2026-04-29T14:37:19Z</cp:lastPrinted>
  <dcterms:created xsi:type="dcterms:W3CDTF">2026-04-29T12:08:31Z</dcterms:created>
  <dcterms:modified xsi:type="dcterms:W3CDTF">2026-04-30T23:56:05Z</dcterms:modified>
</cp:coreProperties>
</file>