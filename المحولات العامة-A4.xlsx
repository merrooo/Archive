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4F2A9FD4-3291-4907-9FBD-83ECA06C8C6F}" xr6:coauthVersionLast="47" xr6:coauthVersionMax="47" xr10:uidLastSave="{00000000-0000-0000-0000-000000000000}"/>
  <bookViews>
    <workbookView xWindow="-120" yWindow="330" windowWidth="24240" windowHeight="13290" tabRatio="816" xr2:uid="{00000000-000D-0000-FFFF-FFFF00000000}"/>
  </bookViews>
  <sheets>
    <sheet name="دمياط" sheetId="1" r:id="rId1"/>
    <sheet name="شمال الدقهلية" sheetId="4" r:id="rId2"/>
    <sheet name="جنوب الدقهلية" sheetId="5" r:id="rId3"/>
    <sheet name="كفر الشيخ" sheetId="6" r:id="rId4"/>
  </sheets>
  <definedNames>
    <definedName name="_xlnm.Print_Area" localSheetId="0">دمياط!$A$2:$G$14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C16" i="5"/>
  <c r="F16" i="5"/>
  <c r="G16" i="5" s="1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B29" i="4"/>
  <c r="C29" i="4"/>
  <c r="D29" i="4"/>
  <c r="E29" i="4"/>
  <c r="F29" i="4"/>
  <c r="G29" i="4"/>
  <c r="C61" i="6"/>
  <c r="F61" i="6" s="1"/>
  <c r="G61" i="6" s="1"/>
  <c r="B61" i="6"/>
  <c r="E61" i="6" s="1"/>
  <c r="F60" i="6"/>
  <c r="G60" i="6" s="1"/>
  <c r="E60" i="6"/>
  <c r="D60" i="6"/>
  <c r="F59" i="6"/>
  <c r="G59" i="6" s="1"/>
  <c r="E59" i="6"/>
  <c r="D59" i="6"/>
  <c r="F58" i="6"/>
  <c r="G58" i="6" s="1"/>
  <c r="E58" i="6"/>
  <c r="D58" i="6"/>
  <c r="F57" i="6"/>
  <c r="G57" i="6" s="1"/>
  <c r="E57" i="6"/>
  <c r="D57" i="6"/>
  <c r="F56" i="6"/>
  <c r="G56" i="6" s="1"/>
  <c r="E56" i="6"/>
  <c r="D56" i="6"/>
  <c r="G55" i="6"/>
  <c r="F55" i="6"/>
  <c r="E55" i="6"/>
  <c r="D55" i="6"/>
  <c r="G54" i="6"/>
  <c r="F54" i="6"/>
  <c r="E54" i="6"/>
  <c r="D54" i="6"/>
  <c r="G53" i="6"/>
  <c r="F53" i="6"/>
  <c r="E53" i="6"/>
  <c r="D53" i="6"/>
  <c r="G52" i="6"/>
  <c r="F52" i="6"/>
  <c r="E52" i="6"/>
  <c r="D52" i="6"/>
  <c r="G51" i="6"/>
  <c r="F51" i="6"/>
  <c r="E51" i="6"/>
  <c r="D51" i="6"/>
  <c r="G50" i="6"/>
  <c r="F50" i="6"/>
  <c r="E50" i="6"/>
  <c r="D50" i="6"/>
  <c r="G49" i="6"/>
  <c r="F49" i="6"/>
  <c r="E49" i="6"/>
  <c r="D49" i="6"/>
  <c r="G48" i="6"/>
  <c r="F48" i="6"/>
  <c r="E48" i="6"/>
  <c r="D48" i="6"/>
  <c r="G47" i="6"/>
  <c r="F47" i="6"/>
  <c r="E47" i="6"/>
  <c r="D47" i="6"/>
  <c r="G46" i="6"/>
  <c r="F46" i="6"/>
  <c r="E46" i="6"/>
  <c r="D46" i="6"/>
  <c r="G45" i="6"/>
  <c r="F45" i="6"/>
  <c r="E45" i="6"/>
  <c r="D45" i="6"/>
  <c r="G44" i="6"/>
  <c r="F44" i="6"/>
  <c r="E44" i="6"/>
  <c r="D44" i="6"/>
  <c r="F42" i="6"/>
  <c r="G42" i="6" s="1"/>
  <c r="E42" i="6"/>
  <c r="D42" i="6"/>
  <c r="F41" i="6"/>
  <c r="G41" i="6" s="1"/>
  <c r="E41" i="6"/>
  <c r="D41" i="6"/>
  <c r="F40" i="6"/>
  <c r="G40" i="6" s="1"/>
  <c r="E40" i="6"/>
  <c r="D40" i="6"/>
  <c r="F39" i="6"/>
  <c r="G39" i="6" s="1"/>
  <c r="E39" i="6"/>
  <c r="D39" i="6"/>
  <c r="F38" i="6"/>
  <c r="G38" i="6" s="1"/>
  <c r="E38" i="6"/>
  <c r="D38" i="6"/>
  <c r="F37" i="6"/>
  <c r="G37" i="6" s="1"/>
  <c r="E37" i="6"/>
  <c r="D37" i="6"/>
  <c r="F36" i="6"/>
  <c r="G36" i="6" s="1"/>
  <c r="E36" i="6"/>
  <c r="D36" i="6"/>
  <c r="F35" i="6"/>
  <c r="G35" i="6" s="1"/>
  <c r="E35" i="6"/>
  <c r="D35" i="6"/>
  <c r="F34" i="6"/>
  <c r="G34" i="6" s="1"/>
  <c r="E34" i="6"/>
  <c r="D34" i="6"/>
  <c r="F33" i="6"/>
  <c r="G33" i="6" s="1"/>
  <c r="E33" i="6"/>
  <c r="D33" i="6"/>
  <c r="F32" i="6"/>
  <c r="G32" i="6" s="1"/>
  <c r="E32" i="6"/>
  <c r="D32" i="6"/>
  <c r="F31" i="6"/>
  <c r="G31" i="6" s="1"/>
  <c r="E31" i="6"/>
  <c r="D31" i="6"/>
  <c r="F30" i="6"/>
  <c r="G30" i="6" s="1"/>
  <c r="E30" i="6"/>
  <c r="D30" i="6"/>
  <c r="C29" i="6"/>
  <c r="F29" i="6" s="1"/>
  <c r="G29" i="6" s="1"/>
  <c r="B29" i="6"/>
  <c r="F28" i="6"/>
  <c r="G28" i="6" s="1"/>
  <c r="E28" i="6"/>
  <c r="D28" i="6"/>
  <c r="F27" i="6"/>
  <c r="G27" i="6" s="1"/>
  <c r="E27" i="6"/>
  <c r="D27" i="6"/>
  <c r="F26" i="6"/>
  <c r="G26" i="6" s="1"/>
  <c r="E26" i="6"/>
  <c r="D26" i="6"/>
  <c r="F25" i="6"/>
  <c r="G25" i="6" s="1"/>
  <c r="E25" i="6"/>
  <c r="D25" i="6"/>
  <c r="F24" i="6"/>
  <c r="G24" i="6" s="1"/>
  <c r="E24" i="6"/>
  <c r="D24" i="6"/>
  <c r="F23" i="6"/>
  <c r="G23" i="6" s="1"/>
  <c r="E23" i="6"/>
  <c r="D23" i="6"/>
  <c r="F22" i="6"/>
  <c r="G22" i="6" s="1"/>
  <c r="E22" i="6"/>
  <c r="D22" i="6"/>
  <c r="F21" i="6"/>
  <c r="G21" i="6" s="1"/>
  <c r="E21" i="6"/>
  <c r="D21" i="6"/>
  <c r="F20" i="6"/>
  <c r="G20" i="6" s="1"/>
  <c r="E20" i="6"/>
  <c r="D20" i="6"/>
  <c r="F19" i="6"/>
  <c r="G19" i="6" s="1"/>
  <c r="E19" i="6"/>
  <c r="D19" i="6"/>
  <c r="F18" i="6"/>
  <c r="G18" i="6" s="1"/>
  <c r="E18" i="6"/>
  <c r="D18" i="6"/>
  <c r="F17" i="6"/>
  <c r="G17" i="6" s="1"/>
  <c r="E17" i="6"/>
  <c r="D17" i="6"/>
  <c r="F16" i="6"/>
  <c r="G16" i="6" s="1"/>
  <c r="E16" i="6"/>
  <c r="D16" i="6"/>
  <c r="F15" i="6"/>
  <c r="G15" i="6" s="1"/>
  <c r="E15" i="6"/>
  <c r="D15" i="6"/>
  <c r="D29" i="6" s="1"/>
  <c r="F14" i="6"/>
  <c r="G14" i="6" s="1"/>
  <c r="D14" i="6"/>
  <c r="C14" i="6"/>
  <c r="B14" i="6"/>
  <c r="F13" i="6"/>
  <c r="G13" i="6" s="1"/>
  <c r="E13" i="6"/>
  <c r="D13" i="6"/>
  <c r="F12" i="6"/>
  <c r="G12" i="6" s="1"/>
  <c r="E12" i="6"/>
  <c r="D12" i="6"/>
  <c r="F11" i="6"/>
  <c r="G11" i="6" s="1"/>
  <c r="E11" i="6"/>
  <c r="D11" i="6"/>
  <c r="F10" i="6"/>
  <c r="G10" i="6" s="1"/>
  <c r="E10" i="6"/>
  <c r="D10" i="6"/>
  <c r="F9" i="6"/>
  <c r="G9" i="6" s="1"/>
  <c r="E9" i="6"/>
  <c r="D9" i="6"/>
  <c r="F8" i="6"/>
  <c r="G8" i="6" s="1"/>
  <c r="E8" i="6"/>
  <c r="D8" i="6"/>
  <c r="F7" i="6"/>
  <c r="G7" i="6" s="1"/>
  <c r="E7" i="6"/>
  <c r="D7" i="6"/>
  <c r="F6" i="6"/>
  <c r="G6" i="6" s="1"/>
  <c r="E6" i="6"/>
  <c r="D6" i="6"/>
  <c r="F5" i="6"/>
  <c r="G5" i="6" s="1"/>
  <c r="E5" i="6"/>
  <c r="D5" i="6"/>
  <c r="F4" i="6"/>
  <c r="G4" i="6" s="1"/>
  <c r="E4" i="6"/>
  <c r="D4" i="6"/>
  <c r="F3" i="6"/>
  <c r="G3" i="6" s="1"/>
  <c r="E3" i="6"/>
  <c r="D3" i="6"/>
  <c r="F15" i="5"/>
  <c r="G15" i="5" s="1"/>
  <c r="E15" i="5"/>
  <c r="D15" i="5"/>
  <c r="F14" i="5"/>
  <c r="G14" i="5" s="1"/>
  <c r="E14" i="5"/>
  <c r="D14" i="5"/>
  <c r="F13" i="5"/>
  <c r="G13" i="5" s="1"/>
  <c r="E13" i="5"/>
  <c r="D13" i="5"/>
  <c r="F12" i="5"/>
  <c r="G12" i="5" s="1"/>
  <c r="E12" i="5"/>
  <c r="D12" i="5"/>
  <c r="F11" i="5"/>
  <c r="G11" i="5" s="1"/>
  <c r="E11" i="5"/>
  <c r="D11" i="5"/>
  <c r="F10" i="5"/>
  <c r="G10" i="5" s="1"/>
  <c r="E10" i="5"/>
  <c r="D10" i="5"/>
  <c r="F9" i="5"/>
  <c r="G9" i="5" s="1"/>
  <c r="E9" i="5"/>
  <c r="D9" i="5"/>
  <c r="F8" i="5"/>
  <c r="G8" i="5" s="1"/>
  <c r="E8" i="5"/>
  <c r="D8" i="5"/>
  <c r="F7" i="5"/>
  <c r="G7" i="5" s="1"/>
  <c r="E7" i="5"/>
  <c r="D7" i="5"/>
  <c r="F6" i="5"/>
  <c r="G6" i="5" s="1"/>
  <c r="E6" i="5"/>
  <c r="D6" i="5"/>
  <c r="F5" i="5"/>
  <c r="G5" i="5" s="1"/>
  <c r="E5" i="5"/>
  <c r="D5" i="5"/>
  <c r="F4" i="5"/>
  <c r="G4" i="5" s="1"/>
  <c r="E4" i="5"/>
  <c r="D4" i="5"/>
  <c r="F3" i="5"/>
  <c r="G3" i="5" s="1"/>
  <c r="E3" i="5"/>
  <c r="D3" i="5"/>
  <c r="D3" i="1"/>
  <c r="D14" i="1" s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B14" i="1"/>
  <c r="E14" i="1" s="1"/>
  <c r="C14" i="1"/>
  <c r="F14" i="1" s="1"/>
  <c r="G14" i="1" s="1"/>
  <c r="D61" i="6" l="1"/>
  <c r="E29" i="6"/>
  <c r="E16" i="5"/>
  <c r="D16" i="5"/>
  <c r="E14" i="6"/>
</calcChain>
</file>

<file path=xl/sharedStrings.xml><?xml version="1.0" encoding="utf-8"?>
<sst xmlns="http://schemas.openxmlformats.org/spreadsheetml/2006/main" count="156" uniqueCount="68">
  <si>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</si>
  <si>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</si>
  <si>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</si>
  <si>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</si>
  <si>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</si>
  <si>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</si>
  <si>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</si>
  <si>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</si>
  <si>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</si>
  <si>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</si>
  <si>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</si>
  <si>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</si>
  <si>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</si>
  <si>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</si>
  <si>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</si>
  <si>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</si>
  <si>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</si>
  <si>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</si>
  <si>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</si>
  <si>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</si>
  <si>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</si>
  <si>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</si>
  <si>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</si>
  <si>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</si>
  <si>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</si>
  <si>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</si>
  <si>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</si>
  <si>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</si>
  <si>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</si>
  <si>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</si>
  <si>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</si>
  <si>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</si>
  <si>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</si>
  <si>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</si>
  <si>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</si>
  <si>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</si>
  <si>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</si>
  <si>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</si>
  <si>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</si>
  <si>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</si>
  <si>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</si>
  <si>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</si>
  <si>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</si>
  <si>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</si>
  <si>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</si>
  <si>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</si>
  <si>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</si>
  <si>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</si>
  <si>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</si>
  <si>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</si>
  <si>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</si>
  <si>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</si>
  <si>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</si>
  <si>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</si>
  <si>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</si>
  <si>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الإجمالي</t>
  </si>
  <si>
    <t>قطاع دمياط</t>
  </si>
  <si>
    <t>قطاع شمال الدقهلية</t>
  </si>
  <si>
    <t>قطاع جنوب الدقهلية</t>
  </si>
  <si>
    <t>قطاع كفر الشيخ</t>
  </si>
  <si>
    <t>المستهدف اليومي</t>
  </si>
  <si>
    <t>بيان ماتم تركيبة من العدادات الذكية بالمحولات العامة -A4</t>
  </si>
  <si>
    <t>المستهدف</t>
  </si>
  <si>
    <t>المتبقى</t>
  </si>
  <si>
    <t>نسبة تنفيذ</t>
  </si>
  <si>
    <t>المستهدف - الأسبوعي</t>
  </si>
  <si>
    <t>ملك الشركة - المنفذ</t>
  </si>
  <si>
    <t>الأجمالي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</si>
</sst>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26"/>
      <color rgb="FF000000"/>
      <name val="Calibri"/>
      <family val="2"/>
    </font>
    <font>
      <sz val="12"/>
      <color theme="1"/>
      <name val="Arial Black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 applyProtection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 applyProtection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48"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pesTable" displayName="TypesTable" ref="A2:G14" totalsRowShown="0" headerRowDxfId="35" dataDxfId="33" headerRowBorderDxfId="34" tableBorderDxfId="32" totalsRowBorderDxfId="31">
  <autoFilter ref="A2:G14" xr:uid="{00000000-0009-0000-0100-000001000000}"/>
  <tableColumns count="7">
    <tableColumn id="2" xr3:uid="{00000000-0010-0000-0000-000002000000}" name="قطاع دمياط" dataDxfId="30"/>
    <tableColumn id="6" xr3:uid="{00000000-0010-0000-0000-000006000000}" name="ملك الشركة - المنفذ" dataDxfId="29"/>
    <tableColumn id="3" xr3:uid="{00000000-0010-0000-0000-000003000000}" name="المستهدف" dataDxfId="28"/>
    <tableColumn id="5" xr3:uid="{00000000-0010-0000-0000-000005000000}" name="المتبقى" dataDxfId="27">
      <calculatedColumnFormula>TypesTable[[#This Row],[المستهدف]]-TypesTable[[#This Row],[ملك الشركة - المنفذ]]</calculatedColumnFormula>
    </tableColumn>
    <tableColumn id="8" xr3:uid="{00000000-0010-0000-0000-000008000000}" name="نسبة تنفيذ" dataDxfId="26">
      <calculatedColumnFormula>(TypesTable[[#This Row],[ملك الشركة - المنفذ]]/TypesTable[[#This Row],[المستهدف]])</calculatedColumnFormula>
    </tableColumn>
    <tableColumn id="12" xr3:uid="{00000000-0010-0000-0000-00000C000000}" name="المستهدف - الأسبوعي" dataDxfId="25" dataCellStyle="Percent">
      <calculatedColumnFormula>TypesTable[[#This Row],[المستهدف]]/7</calculatedColumnFormula>
    </tableColumn>
    <tableColumn id="11" xr3:uid="{00000000-0010-0000-0000-00000B000000}" name="المستهدف اليومي" dataDxfId="24">
      <calculatedColumnFormula>TypesTable[[#This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D7465-D7EF-464F-ABAD-A89A93B2BCF8}" name="TypesTable3" displayName="TypesTable3" ref="A2:G29" totalsRowShown="0" headerRowDxfId="47" dataDxfId="45" headerRowBorderDxfId="46" tableBorderDxfId="44" totalsRowBorderDxfId="43">
  <tableColumns count="7">
    <tableColumn id="2" xr3:uid="{0E07C7EC-079F-4D86-B093-D991F2954A3D}" name="قطاع دمياط" dataDxfId="42"/>
    <tableColumn id="6" xr3:uid="{C22A39F6-3892-43F0-BF84-9E705F67792A}" name="ملك الشركة - المنفذ" dataDxfId="41"/>
    <tableColumn id="3" xr3:uid="{AD3B721E-77A7-42A8-8261-DFFEF453E502}" name="المستهدف" dataDxfId="40"/>
    <tableColumn id="5" xr3:uid="{394DBCCA-E605-4A4E-8DA4-711547FDF32B}" name="المتبقى" dataDxfId="39">
      <calculatedColumnFormula>TypesTable3[[#This Row],[المستهدف]]-TypesTable3[[#This Row],[ملك الشركة - المنفذ]]</calculatedColumnFormula>
    </tableColumn>
    <tableColumn id="8" xr3:uid="{3D5778CD-B2EE-4E1D-9F25-53F1F1B69C09}" name="نسبة تنفيذ" dataDxfId="38">
      <calculatedColumnFormula>(TypesTable3[[#This Row],[ملك الشركة - المنفذ]]/TypesTable3[[#This Row],[المستهدف]])</calculatedColumnFormula>
    </tableColumn>
    <tableColumn id="12" xr3:uid="{5D9833B3-7F12-4B8C-8B62-464699FA21E7}" name="المستهدف - الأسبوعي" dataDxfId="37" dataCellStyle="Percent">
      <calculatedColumnFormula>TypesTable3[[#This Row],[المستهدف]]/7</calculatedColumnFormula>
    </tableColumn>
    <tableColumn id="11" xr3:uid="{56EBE661-0D3B-4F58-86B9-BC580E426739}" name="المستهدف اليومي" dataDxfId="36">
      <calculatedColumnFormula>TypesTable3[[#This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103CC-5196-4EFB-BD83-FCD0B903BCF9}" name="TypesTable4" displayName="TypesTable4" ref="A2:G16" totalsRowShown="0" headerRowDxfId="20" dataDxfId="19" headerRowBorderDxfId="17" tableBorderDxfId="18" totalsRowBorderDxfId="16">
  <autoFilter ref="A2:G16" xr:uid="{CC1103CC-5196-4EFB-BD83-FCD0B903BCF9}"/>
  <tableColumns count="7">
    <tableColumn id="2" xr3:uid="{862DA626-EF58-4436-9EE8-A7E0D1A47A3A}" name="قطاع جنوب الدقهلية" dataDxfId="15"/>
    <tableColumn id="6" xr3:uid="{ED369660-9173-472D-AA28-F6F7FDC985EF}" name="ملك الشركة - المنفذ" dataDxfId="14"/>
    <tableColumn id="3" xr3:uid="{D4ED95BB-4E0E-482A-9BAE-915B7E43C36D}" name="المستهدف" dataDxfId="13"/>
    <tableColumn id="5" xr3:uid="{4DF7F9C7-B834-4126-9F38-7816C6CA0608}" name="المتبقى" dataDxfId="12">
      <calculatedColumnFormula>TypesTable4[[#This Row],[المستهدف]]-TypesTable4[[#This Row],[ملك الشركة - المنفذ]]</calculatedColumnFormula>
    </tableColumn>
    <tableColumn id="8" xr3:uid="{78F4CCC1-4FA8-4213-847E-8595F2E03CA2}" name="نسبة تنفيذ" dataDxfId="11">
      <calculatedColumnFormula>(TypesTable4[[#This Row],[ملك الشركة - المنفذ]]/TypesTable4[[#This Row],[المستهدف]])</calculatedColumnFormula>
    </tableColumn>
    <tableColumn id="12" xr3:uid="{CDC9E1E7-54F8-4092-BBF3-4B0D44D103A8}" name="المستهدف - الأسبوعي" dataDxfId="10" dataCellStyle="Percent">
      <calculatedColumnFormula>TypesTable4[[#This Row],[المستهدف]]/7</calculatedColumnFormula>
    </tableColumn>
    <tableColumn id="11" xr3:uid="{4B5347D1-5217-4734-8FC3-945B2B3C6AA3}" name="المستهدف اليومي" dataDxfId="9">
      <calculatedColumnFormula>TypesTable4[[#This Row],[المستهدف - الأسبوعي]]/6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133D87-0BA6-47FB-B9AB-7AD849AD04E2}" name="TypesTable5" displayName="TypesTable5" ref="A2:G61" totalsRowShown="0" headerRowDxfId="1" dataDxfId="0" headerRowBorderDxfId="23" tableBorderDxfId="22" totalsRowBorderDxfId="21">
  <autoFilter ref="A2:G61" xr:uid="{C7133D87-0BA6-47FB-B9AB-7AD849AD04E2}"/>
  <tableColumns count="7">
    <tableColumn id="2" xr3:uid="{12D38DBA-054A-4C57-B24D-46CCDCC39CA8}" name="قطاع دمياط" dataDxfId="8"/>
    <tableColumn id="6" xr3:uid="{F7F4DD31-A2FB-475C-90CE-E5791023ED1F}" name="ملك الشركة - المنفذ" dataDxfId="7"/>
    <tableColumn id="3" xr3:uid="{AE322698-4058-4B10-856E-802569DC8B58}" name="المستهدف" dataDxfId="6"/>
    <tableColumn id="5" xr3:uid="{69B441DC-AD25-4097-95C3-F83361D5D85F}" name="المتبقى" dataDxfId="5">
      <calculatedColumnFormula>TypesTable5[[#This Row],[المستهدف]]-TypesTable5[[#This Row],[ملك الشركة - المنفذ]]</calculatedColumnFormula>
    </tableColumn>
    <tableColumn id="8" xr3:uid="{775ECA9F-925B-4E11-97B1-6F2F95D140DF}" name="نسبة تنفيذ" dataDxfId="4">
      <calculatedColumnFormula>(TypesTable5[[#This Row],[ملك الشركة - المنفذ]]/TypesTable5[[#This Row],[المستهدف]])</calculatedColumnFormula>
    </tableColumn>
    <tableColumn id="12" xr3:uid="{F16F4FAF-5F9B-472A-A952-C18C15ECABD0}" name="المستهدف - الأسبوعي" dataDxfId="3" dataCellStyle="Percent">
      <calculatedColumnFormula>TypesTable5[[#This Row],[المستهدف]]/7</calculatedColumnFormula>
    </tableColumn>
    <tableColumn id="11" xr3:uid="{0FA52369-8CE2-48C4-B9E0-BF35CC81A609}" name="المستهدف اليومي" dataDxfId="2">
      <calculatedColumnFormula>TypesTable5[[#This Row],[المستهدف - الأسبوعي]]/6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tabSelected="1" zoomScaleNormal="100" workbookViewId="0">
      <selection activeCell="F5" sqref="F5"/>
    </sheetView>
  </sheetViews>
  <sheetFormatPr defaultRowHeight="18" customHeight="1" x14ac:dyDescent="0.25"/>
  <cols>
    <col min="1" max="1" width="28.7109375" style="3" bestFit="1" customWidth="1"/>
    <col min="2" max="2" width="21" style="2" bestFit="1" customWidth="1"/>
    <col min="3" max="3" width="13.42578125" style="2" bestFit="1" customWidth="1"/>
    <col min="4" max="4" width="11.140625" style="2" bestFit="1" customWidth="1"/>
    <col min="5" max="5" width="13.140625" style="2" bestFit="1" customWidth="1"/>
    <col min="6" max="6" width="23" style="2" bestFit="1" customWidth="1"/>
    <col min="7" max="7" width="19.140625" style="2" bestFit="1" customWidth="1"/>
    <col min="8" max="16384" width="9.140625" style="2"/>
  </cols>
  <sheetData>
    <row r="1" spans="1:7" ht="33.75" x14ac:dyDescent="0.25">
      <c r="A1" s="13" t="s">
        <v>61</v>
      </c>
      <c r="B1" s="13"/>
      <c r="C1" s="13"/>
      <c r="D1" s="13"/>
      <c r="E1" s="13"/>
      <c r="F1" s="13"/>
      <c r="G1" s="13"/>
    </row>
    <row r="2" spans="1:7" s="1" customFormat="1" ht="30" customHeight="1" x14ac:dyDescent="0.25">
      <c r="A2" s="4" t="s">
        <v>56</v>
      </c>
      <c r="B2" s="4" t="s">
        <v>66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60</v>
      </c>
    </row>
    <row r="3" spans="1:7" ht="30" customHeight="1" x14ac:dyDescent="0.25">
      <c r="A3" s="5" t="s">
        <v>0</v>
      </c>
      <c r="B3" s="6">
        <v>0</v>
      </c>
      <c r="C3" s="6">
        <v>215</v>
      </c>
      <c r="D3" s="6">
        <f>TypesTable[[#This Row],[المستهدف]]-TypesTable[[#This Row],[ملك الشركة - المنفذ]]</f>
        <v>215</v>
      </c>
      <c r="E3" s="7">
        <f>(TypesTable[[#This Row],[ملك الشركة - المنفذ]]/TypesTable[[#This Row],[المستهدف]])</f>
        <v>0</v>
      </c>
      <c r="F3" s="8">
        <f>TypesTable[[#This Row],[المستهدف]]/7</f>
        <v>30.714285714285715</v>
      </c>
      <c r="G3" s="8">
        <f>TypesTable[[#This Row],[المستهدف - الأسبوعي]]/6</f>
        <v>5.1190476190476195</v>
      </c>
    </row>
    <row r="4" spans="1:7" ht="30" customHeight="1" x14ac:dyDescent="0.25">
      <c r="A4" s="5" t="s">
        <v>1</v>
      </c>
      <c r="B4" s="6">
        <v>86</v>
      </c>
      <c r="C4" s="6">
        <v>280</v>
      </c>
      <c r="D4" s="6">
        <f>TypesTable[[#This Row],[المستهدف]]-TypesTable[[#This Row],[ملك الشركة - المنفذ]]</f>
        <v>194</v>
      </c>
      <c r="E4" s="7">
        <f>(TypesTable[[#This Row],[ملك الشركة - المنفذ]]/TypesTable[[#This Row],[المستهدف]])</f>
        <v>0.30714285714285716</v>
      </c>
      <c r="F4" s="8">
        <f>TypesTable[[#This Row],[المستهدف]]/7</f>
        <v>40</v>
      </c>
      <c r="G4" s="8">
        <f>TypesTable[[#This Row],[المستهدف - الأسبوعي]]/6</f>
        <v>6.666666666666667</v>
      </c>
    </row>
    <row r="5" spans="1:7" ht="30" customHeight="1" x14ac:dyDescent="0.25">
      <c r="A5" s="5" t="s">
        <v>2</v>
      </c>
      <c r="B5" s="6">
        <v>0</v>
      </c>
      <c r="C5" s="6">
        <v>66</v>
      </c>
      <c r="D5" s="6">
        <f>TypesTable[[#This Row],[المستهدف]]-TypesTable[[#This Row],[ملك الشركة - المنفذ]]</f>
        <v>66</v>
      </c>
      <c r="E5" s="7">
        <f>(TypesTable[[#This Row],[ملك الشركة - المنفذ]]/TypesTable[[#This Row],[المستهدف]])</f>
        <v>0</v>
      </c>
      <c r="F5" s="8">
        <f>TypesTable[[#This Row],[المستهدف]]/7</f>
        <v>9.4285714285714288</v>
      </c>
      <c r="G5" s="8">
        <f>TypesTable[[#This Row],[المستهدف - الأسبوعي]]/6</f>
        <v>1.5714285714285714</v>
      </c>
    </row>
    <row r="6" spans="1:7" ht="30" customHeight="1" x14ac:dyDescent="0.25">
      <c r="A6" s="5" t="s">
        <v>3</v>
      </c>
      <c r="B6" s="6">
        <v>10</v>
      </c>
      <c r="C6" s="6">
        <v>242</v>
      </c>
      <c r="D6" s="6">
        <f>TypesTable[[#This Row],[المستهدف]]-TypesTable[[#This Row],[ملك الشركة - المنفذ]]</f>
        <v>232</v>
      </c>
      <c r="E6" s="7">
        <f>(TypesTable[[#This Row],[ملك الشركة - المنفذ]]/TypesTable[[#This Row],[المستهدف]])</f>
        <v>4.1322314049586778E-2</v>
      </c>
      <c r="F6" s="8">
        <f>TypesTable[[#This Row],[المستهدف]]/7</f>
        <v>34.571428571428569</v>
      </c>
      <c r="G6" s="8">
        <f>TypesTable[[#This Row],[المستهدف - الأسبوعي]]/6</f>
        <v>5.7619047619047619</v>
      </c>
    </row>
    <row r="7" spans="1:7" ht="30" customHeight="1" x14ac:dyDescent="0.25">
      <c r="A7" s="5" t="s">
        <v>4</v>
      </c>
      <c r="B7" s="6">
        <v>0</v>
      </c>
      <c r="C7" s="6">
        <v>200</v>
      </c>
      <c r="D7" s="6">
        <f>TypesTable[[#This Row],[المستهدف]]-TypesTable[[#This Row],[ملك الشركة - المنفذ]]</f>
        <v>200</v>
      </c>
      <c r="E7" s="7">
        <f>(TypesTable[[#This Row],[ملك الشركة - المنفذ]]/TypesTable[[#This Row],[المستهدف]])</f>
        <v>0</v>
      </c>
      <c r="F7" s="8">
        <f>TypesTable[[#This Row],[المستهدف]]/7</f>
        <v>28.571428571428573</v>
      </c>
      <c r="G7" s="8">
        <f>TypesTable[[#This Row],[المستهدف - الأسبوعي]]/6</f>
        <v>4.7619047619047619</v>
      </c>
    </row>
    <row r="8" spans="1:7" ht="30" customHeight="1" x14ac:dyDescent="0.25">
      <c r="A8" s="5" t="s">
        <v>5</v>
      </c>
      <c r="B8" s="6">
        <v>10</v>
      </c>
      <c r="C8" s="6">
        <v>205</v>
      </c>
      <c r="D8" s="6">
        <f>TypesTable[[#This Row],[المستهدف]]-TypesTable[[#This Row],[ملك الشركة - المنفذ]]</f>
        <v>195</v>
      </c>
      <c r="E8" s="7">
        <f>(TypesTable[[#This Row],[ملك الشركة - المنفذ]]/TypesTable[[#This Row],[المستهدف]])</f>
        <v>4.878048780487805E-2</v>
      </c>
      <c r="F8" s="8">
        <f>TypesTable[[#This Row],[المستهدف]]/7</f>
        <v>29.285714285714285</v>
      </c>
      <c r="G8" s="8">
        <f>TypesTable[[#This Row],[المستهدف - الأسبوعي]]/6</f>
        <v>4.8809523809523805</v>
      </c>
    </row>
    <row r="9" spans="1:7" ht="30" customHeight="1" x14ac:dyDescent="0.25">
      <c r="A9" s="5" t="s">
        <v>6</v>
      </c>
      <c r="B9" s="6">
        <v>0</v>
      </c>
      <c r="C9" s="6">
        <v>669</v>
      </c>
      <c r="D9" s="6">
        <f>TypesTable[[#This Row],[المستهدف]]-TypesTable[[#This Row],[ملك الشركة - المنفذ]]</f>
        <v>669</v>
      </c>
      <c r="E9" s="7">
        <f>(TypesTable[[#This Row],[ملك الشركة - المنفذ]]/TypesTable[[#This Row],[المستهدف]])</f>
        <v>0</v>
      </c>
      <c r="F9" s="8">
        <f>TypesTable[[#This Row],[المستهدف]]/7</f>
        <v>95.571428571428569</v>
      </c>
      <c r="G9" s="8">
        <f>TypesTable[[#This Row],[المستهدف - الأسبوعي]]/6</f>
        <v>15.928571428571429</v>
      </c>
    </row>
    <row r="10" spans="1:7" ht="30" customHeight="1" x14ac:dyDescent="0.25">
      <c r="A10" s="5" t="s">
        <v>7</v>
      </c>
      <c r="B10" s="6">
        <v>7</v>
      </c>
      <c r="C10" s="6">
        <v>171</v>
      </c>
      <c r="D10" s="6">
        <f>TypesTable[[#This Row],[المستهدف]]-TypesTable[[#This Row],[ملك الشركة - المنفذ]]</f>
        <v>164</v>
      </c>
      <c r="E10" s="7">
        <f>(TypesTable[[#This Row],[ملك الشركة - المنفذ]]/TypesTable[[#This Row],[المستهدف]])</f>
        <v>4.0935672514619881E-2</v>
      </c>
      <c r="F10" s="8">
        <f>TypesTable[[#This Row],[المستهدف]]/7</f>
        <v>24.428571428571427</v>
      </c>
      <c r="G10" s="8">
        <f>TypesTable[[#This Row],[المستهدف - الأسبوعي]]/6</f>
        <v>4.0714285714285712</v>
      </c>
    </row>
    <row r="11" spans="1:7" ht="30" customHeight="1" x14ac:dyDescent="0.25">
      <c r="A11" s="5" t="s">
        <v>8</v>
      </c>
      <c r="B11" s="6">
        <v>14</v>
      </c>
      <c r="C11" s="6">
        <v>149</v>
      </c>
      <c r="D11" s="6">
        <f>TypesTable[[#This Row],[المستهدف]]-TypesTable[[#This Row],[ملك الشركة - المنفذ]]</f>
        <v>135</v>
      </c>
      <c r="E11" s="7">
        <f>(TypesTable[[#This Row],[ملك الشركة - المنفذ]]/TypesTable[[#This Row],[المستهدف]])</f>
        <v>9.3959731543624164E-2</v>
      </c>
      <c r="F11" s="8">
        <f>TypesTable[[#This Row],[المستهدف]]/7</f>
        <v>21.285714285714285</v>
      </c>
      <c r="G11" s="8">
        <f>TypesTable[[#This Row],[المستهدف - الأسبوعي]]/6</f>
        <v>3.5476190476190474</v>
      </c>
    </row>
    <row r="12" spans="1:7" ht="30" customHeight="1" x14ac:dyDescent="0.25">
      <c r="A12" s="5" t="s">
        <v>9</v>
      </c>
      <c r="B12" s="6">
        <v>10</v>
      </c>
      <c r="C12" s="6">
        <v>110</v>
      </c>
      <c r="D12" s="6">
        <f>TypesTable[[#This Row],[المستهدف]]-TypesTable[[#This Row],[ملك الشركة - المنفذ]]</f>
        <v>100</v>
      </c>
      <c r="E12" s="7">
        <f>(TypesTable[[#This Row],[ملك الشركة - المنفذ]]/TypesTable[[#This Row],[المستهدف]])</f>
        <v>9.0909090909090912E-2</v>
      </c>
      <c r="F12" s="8">
        <f>TypesTable[[#This Row],[المستهدف]]/7</f>
        <v>15.714285714285714</v>
      </c>
      <c r="G12" s="8">
        <f>TypesTable[[#This Row],[المستهدف - الأسبوعي]]/6</f>
        <v>2.6190476190476191</v>
      </c>
    </row>
    <row r="13" spans="1:7" ht="30" customHeight="1" x14ac:dyDescent="0.25">
      <c r="A13" s="5" t="s">
        <v>10</v>
      </c>
      <c r="B13" s="6">
        <v>11</v>
      </c>
      <c r="C13" s="6">
        <v>146</v>
      </c>
      <c r="D13" s="6">
        <f>TypesTable[[#This Row],[المستهدف]]-TypesTable[[#This Row],[ملك الشركة - المنفذ]]</f>
        <v>135</v>
      </c>
      <c r="E13" s="7">
        <f>(TypesTable[[#This Row],[ملك الشركة - المنفذ]]/TypesTable[[#This Row],[المستهدف]])</f>
        <v>7.5342465753424653E-2</v>
      </c>
      <c r="F13" s="8">
        <f>TypesTable[[#This Row],[المستهدف]]/7</f>
        <v>20.857142857142858</v>
      </c>
      <c r="G13" s="8">
        <f>TypesTable[[#This Row],[المستهدف - الأسبوعي]]/6</f>
        <v>3.4761904761904763</v>
      </c>
    </row>
    <row r="14" spans="1:7" ht="30" customHeight="1" x14ac:dyDescent="0.25">
      <c r="A14" s="9" t="s">
        <v>55</v>
      </c>
      <c r="B14" s="10">
        <f>SUBTOTAL(109,B3:B13)</f>
        <v>148</v>
      </c>
      <c r="C14" s="10">
        <f t="shared" ref="C14:D14" si="0">SUBTOTAL(109,C3:C13)</f>
        <v>2453</v>
      </c>
      <c r="D14" s="10">
        <f t="shared" si="0"/>
        <v>2305</v>
      </c>
      <c r="E14" s="11">
        <f>(TypesTable[[#This Row],[ملك الشركة - المنفذ]]/TypesTable[[#This Row],[المستهدف]])</f>
        <v>6.0334284549531186E-2</v>
      </c>
      <c r="F14" s="12">
        <f>TypesTable[[#This Row],[المستهدف]]/7</f>
        <v>350.42857142857144</v>
      </c>
      <c r="G14" s="12">
        <f>TypesTable[[#This Row],[المستهدف - الأسبوعي]]/6</f>
        <v>58.404761904761905</v>
      </c>
    </row>
  </sheetData>
  <mergeCells count="1">
    <mergeCell ref="A1:G1"/>
  </mergeCells>
  <printOptions horizontalCentered="1" verticalCentered="1"/>
  <pageMargins left="0.21" right="0.21" top="7.874015748031496E-2" bottom="3.937007874015748E-2" header="7.874015748031496E-2" footer="7.874015748031496E-2"/>
  <pageSetup scale="66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49C9-9555-4588-BAC6-82462610E7C5}">
  <dimension ref="A1:G29"/>
  <sheetViews>
    <sheetView rightToLeft="1" topLeftCell="A26" workbookViewId="0">
      <selection activeCell="A26" sqref="A1:XFD1048576"/>
    </sheetView>
  </sheetViews>
  <sheetFormatPr defaultRowHeight="15" x14ac:dyDescent="0.25"/>
  <cols>
    <col min="1" max="1" width="28.7109375" style="3" bestFit="1" customWidth="1"/>
    <col min="2" max="2" width="21.28515625" style="2" bestFit="1" customWidth="1"/>
    <col min="3" max="3" width="11.28515625" style="2" bestFit="1" customWidth="1"/>
    <col min="4" max="4" width="8.42578125" style="2" bestFit="1" customWidth="1"/>
    <col min="5" max="5" width="11.5703125" style="2" bestFit="1" customWidth="1"/>
    <col min="6" max="6" width="23.85546875" style="2" bestFit="1" customWidth="1"/>
    <col min="7" max="7" width="19" style="2" bestFit="1" customWidth="1"/>
    <col min="8" max="16384" width="9.140625" style="2"/>
  </cols>
  <sheetData>
    <row r="1" spans="1:7" ht="33.75" x14ac:dyDescent="0.25">
      <c r="A1" s="13" t="s">
        <v>61</v>
      </c>
      <c r="B1" s="13"/>
      <c r="C1" s="13"/>
      <c r="D1" s="13"/>
      <c r="E1" s="13"/>
      <c r="F1" s="13"/>
      <c r="G1" s="13"/>
    </row>
    <row r="2" spans="1:7" s="1" customFormat="1" ht="18" hidden="1" customHeight="1" x14ac:dyDescent="0.25">
      <c r="A2" s="4" t="s">
        <v>56</v>
      </c>
      <c r="B2" s="4" t="s">
        <v>66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60</v>
      </c>
    </row>
    <row r="3" spans="1:7" ht="18" hidden="1" customHeight="1" x14ac:dyDescent="0.25">
      <c r="A3" s="5" t="s">
        <v>0</v>
      </c>
      <c r="B3" s="6">
        <v>0</v>
      </c>
      <c r="C3" s="6">
        <v>215</v>
      </c>
      <c r="D3" s="6">
        <f>TypesTable3[[#This Row],[المستهدف]]-TypesTable3[[#This Row],[ملك الشركة - المنفذ]]</f>
        <v>215</v>
      </c>
      <c r="E3" s="7">
        <f>(TypesTable3[[#This Row],[ملك الشركة - المنفذ]]/TypesTable3[[#This Row],[المستهدف]])</f>
        <v>0</v>
      </c>
      <c r="F3" s="8">
        <f>TypesTable3[[#This Row],[المستهدف]]/7</f>
        <v>30.714285714285715</v>
      </c>
      <c r="G3" s="8">
        <f>TypesTable3[[#This Row],[المستهدف - الأسبوعي]]/6</f>
        <v>5.1190476190476195</v>
      </c>
    </row>
    <row r="4" spans="1:7" ht="18" hidden="1" customHeight="1" x14ac:dyDescent="0.25">
      <c r="A4" s="5" t="s">
        <v>1</v>
      </c>
      <c r="B4" s="6">
        <v>86</v>
      </c>
      <c r="C4" s="6">
        <v>280</v>
      </c>
      <c r="D4" s="6">
        <f>TypesTable3[[#This Row],[المستهدف]]-TypesTable3[[#This Row],[ملك الشركة - المنفذ]]</f>
        <v>194</v>
      </c>
      <c r="E4" s="7">
        <f>(TypesTable3[[#This Row],[ملك الشركة - المنفذ]]/TypesTable3[[#This Row],[المستهدف]])</f>
        <v>0.30714285714285716</v>
      </c>
      <c r="F4" s="8">
        <f>TypesTable3[[#This Row],[المستهدف]]/7</f>
        <v>40</v>
      </c>
      <c r="G4" s="8">
        <f>TypesTable3[[#This Row],[المستهدف - الأسبوعي]]/6</f>
        <v>6.666666666666667</v>
      </c>
    </row>
    <row r="5" spans="1:7" ht="18" hidden="1" customHeight="1" x14ac:dyDescent="0.25">
      <c r="A5" s="5" t="s">
        <v>2</v>
      </c>
      <c r="B5" s="6">
        <v>0</v>
      </c>
      <c r="C5" s="6">
        <v>66</v>
      </c>
      <c r="D5" s="6">
        <f>TypesTable3[[#This Row],[المستهدف]]-TypesTable3[[#This Row],[ملك الشركة - المنفذ]]</f>
        <v>66</v>
      </c>
      <c r="E5" s="7">
        <f>(TypesTable3[[#This Row],[ملك الشركة - المنفذ]]/TypesTable3[[#This Row],[المستهدف]])</f>
        <v>0</v>
      </c>
      <c r="F5" s="8">
        <f>TypesTable3[[#This Row],[المستهدف]]/7</f>
        <v>9.4285714285714288</v>
      </c>
      <c r="G5" s="8">
        <f>TypesTable3[[#This Row],[المستهدف - الأسبوعي]]/6</f>
        <v>1.5714285714285714</v>
      </c>
    </row>
    <row r="6" spans="1:7" ht="18" hidden="1" customHeight="1" x14ac:dyDescent="0.25">
      <c r="A6" s="5" t="s">
        <v>3</v>
      </c>
      <c r="B6" s="6">
        <v>10</v>
      </c>
      <c r="C6" s="6">
        <v>242</v>
      </c>
      <c r="D6" s="6">
        <f>TypesTable3[[#This Row],[المستهدف]]-TypesTable3[[#This Row],[ملك الشركة - المنفذ]]</f>
        <v>232</v>
      </c>
      <c r="E6" s="7">
        <f>(TypesTable3[[#This Row],[ملك الشركة - المنفذ]]/TypesTable3[[#This Row],[المستهدف]])</f>
        <v>4.1322314049586778E-2</v>
      </c>
      <c r="F6" s="8">
        <f>TypesTable3[[#This Row],[المستهدف]]/7</f>
        <v>34.571428571428569</v>
      </c>
      <c r="G6" s="8">
        <f>TypesTable3[[#This Row],[المستهدف - الأسبوعي]]/6</f>
        <v>5.7619047619047619</v>
      </c>
    </row>
    <row r="7" spans="1:7" ht="18" hidden="1" customHeight="1" x14ac:dyDescent="0.25">
      <c r="A7" s="5" t="s">
        <v>4</v>
      </c>
      <c r="B7" s="6">
        <v>0</v>
      </c>
      <c r="C7" s="6">
        <v>200</v>
      </c>
      <c r="D7" s="6">
        <f>TypesTable3[[#This Row],[المستهدف]]-TypesTable3[[#This Row],[ملك الشركة - المنفذ]]</f>
        <v>200</v>
      </c>
      <c r="E7" s="7">
        <f>(TypesTable3[[#This Row],[ملك الشركة - المنفذ]]/TypesTable3[[#This Row],[المستهدف]])</f>
        <v>0</v>
      </c>
      <c r="F7" s="8">
        <f>TypesTable3[[#This Row],[المستهدف]]/7</f>
        <v>28.571428571428573</v>
      </c>
      <c r="G7" s="8">
        <f>TypesTable3[[#This Row],[المستهدف - الأسبوعي]]/6</f>
        <v>4.7619047619047619</v>
      </c>
    </row>
    <row r="8" spans="1:7" ht="18" hidden="1" customHeight="1" x14ac:dyDescent="0.25">
      <c r="A8" s="5" t="s">
        <v>5</v>
      </c>
      <c r="B8" s="6">
        <v>10</v>
      </c>
      <c r="C8" s="6">
        <v>205</v>
      </c>
      <c r="D8" s="6">
        <f>TypesTable3[[#This Row],[المستهدف]]-TypesTable3[[#This Row],[ملك الشركة - المنفذ]]</f>
        <v>195</v>
      </c>
      <c r="E8" s="7">
        <f>(TypesTable3[[#This Row],[ملك الشركة - المنفذ]]/TypesTable3[[#This Row],[المستهدف]])</f>
        <v>4.878048780487805E-2</v>
      </c>
      <c r="F8" s="8">
        <f>TypesTable3[[#This Row],[المستهدف]]/7</f>
        <v>29.285714285714285</v>
      </c>
      <c r="G8" s="8">
        <f>TypesTable3[[#This Row],[المستهدف - الأسبوعي]]/6</f>
        <v>4.8809523809523805</v>
      </c>
    </row>
    <row r="9" spans="1:7" ht="18" hidden="1" customHeight="1" x14ac:dyDescent="0.25">
      <c r="A9" s="5" t="s">
        <v>6</v>
      </c>
      <c r="B9" s="6">
        <v>0</v>
      </c>
      <c r="C9" s="6">
        <v>669</v>
      </c>
      <c r="D9" s="6">
        <f>TypesTable3[[#This Row],[المستهدف]]-TypesTable3[[#This Row],[ملك الشركة - المنفذ]]</f>
        <v>669</v>
      </c>
      <c r="E9" s="7">
        <f>(TypesTable3[[#This Row],[ملك الشركة - المنفذ]]/TypesTable3[[#This Row],[المستهدف]])</f>
        <v>0</v>
      </c>
      <c r="F9" s="8">
        <f>TypesTable3[[#This Row],[المستهدف]]/7</f>
        <v>95.571428571428569</v>
      </c>
      <c r="G9" s="8">
        <f>TypesTable3[[#This Row],[المستهدف - الأسبوعي]]/6</f>
        <v>15.928571428571429</v>
      </c>
    </row>
    <row r="10" spans="1:7" ht="18" hidden="1" customHeight="1" x14ac:dyDescent="0.25">
      <c r="A10" s="5" t="s">
        <v>7</v>
      </c>
      <c r="B10" s="6">
        <v>7</v>
      </c>
      <c r="C10" s="6">
        <v>171</v>
      </c>
      <c r="D10" s="6">
        <f>TypesTable3[[#This Row],[المستهدف]]-TypesTable3[[#This Row],[ملك الشركة - المنفذ]]</f>
        <v>164</v>
      </c>
      <c r="E10" s="7">
        <f>(TypesTable3[[#This Row],[ملك الشركة - المنفذ]]/TypesTable3[[#This Row],[المستهدف]])</f>
        <v>4.0935672514619881E-2</v>
      </c>
      <c r="F10" s="8">
        <f>TypesTable3[[#This Row],[المستهدف]]/7</f>
        <v>24.428571428571427</v>
      </c>
      <c r="G10" s="8">
        <f>TypesTable3[[#This Row],[المستهدف - الأسبوعي]]/6</f>
        <v>4.0714285714285712</v>
      </c>
    </row>
    <row r="11" spans="1:7" ht="18" hidden="1" customHeight="1" x14ac:dyDescent="0.25">
      <c r="A11" s="5" t="s">
        <v>8</v>
      </c>
      <c r="B11" s="6">
        <v>14</v>
      </c>
      <c r="C11" s="6">
        <v>149</v>
      </c>
      <c r="D11" s="6">
        <f>TypesTable3[[#This Row],[المستهدف]]-TypesTable3[[#This Row],[ملك الشركة - المنفذ]]</f>
        <v>135</v>
      </c>
      <c r="E11" s="7">
        <f>(TypesTable3[[#This Row],[ملك الشركة - المنفذ]]/TypesTable3[[#This Row],[المستهدف]])</f>
        <v>9.3959731543624164E-2</v>
      </c>
      <c r="F11" s="8">
        <f>TypesTable3[[#This Row],[المستهدف]]/7</f>
        <v>21.285714285714285</v>
      </c>
      <c r="G11" s="8">
        <f>TypesTable3[[#This Row],[المستهدف - الأسبوعي]]/6</f>
        <v>3.5476190476190474</v>
      </c>
    </row>
    <row r="12" spans="1:7" ht="18" hidden="1" customHeight="1" x14ac:dyDescent="0.25">
      <c r="A12" s="5" t="s">
        <v>9</v>
      </c>
      <c r="B12" s="6">
        <v>10</v>
      </c>
      <c r="C12" s="6">
        <v>110</v>
      </c>
      <c r="D12" s="6">
        <f>TypesTable3[[#This Row],[المستهدف]]-TypesTable3[[#This Row],[ملك الشركة - المنفذ]]</f>
        <v>100</v>
      </c>
      <c r="E12" s="7">
        <f>(TypesTable3[[#This Row],[ملك الشركة - المنفذ]]/TypesTable3[[#This Row],[المستهدف]])</f>
        <v>9.0909090909090912E-2</v>
      </c>
      <c r="F12" s="8">
        <f>TypesTable3[[#This Row],[المستهدف]]/7</f>
        <v>15.714285714285714</v>
      </c>
      <c r="G12" s="8">
        <f>TypesTable3[[#This Row],[المستهدف - الأسبوعي]]/6</f>
        <v>2.6190476190476191</v>
      </c>
    </row>
    <row r="13" spans="1:7" ht="18" hidden="1" customHeight="1" x14ac:dyDescent="0.25">
      <c r="A13" s="5" t="s">
        <v>10</v>
      </c>
      <c r="B13" s="6">
        <v>11</v>
      </c>
      <c r="C13" s="6">
        <v>146</v>
      </c>
      <c r="D13" s="6">
        <f>TypesTable3[[#This Row],[المستهدف]]-TypesTable3[[#This Row],[ملك الشركة - المنفذ]]</f>
        <v>135</v>
      </c>
      <c r="E13" s="7">
        <f>(TypesTable3[[#This Row],[ملك الشركة - المنفذ]]/TypesTable3[[#This Row],[المستهدف]])</f>
        <v>7.5342465753424653E-2</v>
      </c>
      <c r="F13" s="8">
        <f>TypesTable3[[#This Row],[المستهدف]]/7</f>
        <v>20.857142857142858</v>
      </c>
      <c r="G13" s="8">
        <f>TypesTable3[[#This Row],[المستهدف - الأسبوعي]]/6</f>
        <v>3.4761904761904763</v>
      </c>
    </row>
    <row r="14" spans="1:7" ht="30" customHeight="1" x14ac:dyDescent="0.25">
      <c r="A14" s="9" t="s">
        <v>57</v>
      </c>
      <c r="B14" s="9" t="s">
        <v>66</v>
      </c>
      <c r="C14" s="9" t="s">
        <v>62</v>
      </c>
      <c r="D14" s="9" t="s">
        <v>63</v>
      </c>
      <c r="E14" s="9" t="s">
        <v>64</v>
      </c>
      <c r="F14" s="9" t="s">
        <v>65</v>
      </c>
      <c r="G14" s="9" t="s">
        <v>60</v>
      </c>
    </row>
    <row r="15" spans="1:7" ht="30" customHeight="1" x14ac:dyDescent="0.25">
      <c r="A15" s="5" t="s">
        <v>11</v>
      </c>
      <c r="B15" s="6">
        <v>101</v>
      </c>
      <c r="C15" s="6">
        <v>120</v>
      </c>
      <c r="D15" s="6">
        <f>TypesTable3[[#This Row],[المستهدف]]-TypesTable3[[#This Row],[ملك الشركة - المنفذ]]</f>
        <v>19</v>
      </c>
      <c r="E15" s="7">
        <f>(TypesTable3[[#This Row],[ملك الشركة - المنفذ]]/TypesTable3[[#This Row],[المستهدف]])</f>
        <v>0.84166666666666667</v>
      </c>
      <c r="F15" s="8">
        <f>TypesTable3[[#This Row],[المستهدف]]/7</f>
        <v>17.142857142857142</v>
      </c>
      <c r="G15" s="8">
        <f>TypesTable3[[#This Row],[المستهدف - الأسبوعي]]/6</f>
        <v>2.8571428571428572</v>
      </c>
    </row>
    <row r="16" spans="1:7" ht="30" customHeight="1" x14ac:dyDescent="0.25">
      <c r="A16" s="5" t="s">
        <v>12</v>
      </c>
      <c r="B16" s="6">
        <v>184</v>
      </c>
      <c r="C16" s="6">
        <v>194</v>
      </c>
      <c r="D16" s="6">
        <f>TypesTable3[[#This Row],[المستهدف]]-TypesTable3[[#This Row],[ملك الشركة - المنفذ]]</f>
        <v>10</v>
      </c>
      <c r="E16" s="7">
        <f>(TypesTable3[[#This Row],[ملك الشركة - المنفذ]]/TypesTable3[[#This Row],[المستهدف]])</f>
        <v>0.94845360824742264</v>
      </c>
      <c r="F16" s="8">
        <f>TypesTable3[[#This Row],[المستهدف]]/7</f>
        <v>27.714285714285715</v>
      </c>
      <c r="G16" s="8">
        <f>TypesTable3[[#This Row],[المستهدف - الأسبوعي]]/6</f>
        <v>4.6190476190476195</v>
      </c>
    </row>
    <row r="17" spans="1:7" ht="30" customHeight="1" x14ac:dyDescent="0.25">
      <c r="A17" s="5" t="s">
        <v>13</v>
      </c>
      <c r="B17" s="6">
        <v>213</v>
      </c>
      <c r="C17" s="6">
        <v>179</v>
      </c>
      <c r="D17" s="6">
        <f>TypesTable3[[#This Row],[المستهدف]]-TypesTable3[[#This Row],[ملك الشركة - المنفذ]]</f>
        <v>-34</v>
      </c>
      <c r="E17" s="7">
        <f>(TypesTable3[[#This Row],[ملك الشركة - المنفذ]]/TypesTable3[[#This Row],[المستهدف]])</f>
        <v>1.1899441340782122</v>
      </c>
      <c r="F17" s="8">
        <f>TypesTable3[[#This Row],[المستهدف]]/7</f>
        <v>25.571428571428573</v>
      </c>
      <c r="G17" s="8">
        <f>TypesTable3[[#This Row],[المستهدف - الأسبوعي]]/6</f>
        <v>4.2619047619047619</v>
      </c>
    </row>
    <row r="18" spans="1:7" ht="30" customHeight="1" x14ac:dyDescent="0.25">
      <c r="A18" s="5" t="s">
        <v>14</v>
      </c>
      <c r="B18" s="6">
        <v>60</v>
      </c>
      <c r="C18" s="6">
        <v>148</v>
      </c>
      <c r="D18" s="6">
        <f>TypesTable3[[#This Row],[المستهدف]]-TypesTable3[[#This Row],[ملك الشركة - المنفذ]]</f>
        <v>88</v>
      </c>
      <c r="E18" s="7">
        <f>(TypesTable3[[#This Row],[ملك الشركة - المنفذ]]/TypesTable3[[#This Row],[المستهدف]])</f>
        <v>0.40540540540540543</v>
      </c>
      <c r="F18" s="8">
        <f>TypesTable3[[#This Row],[المستهدف]]/7</f>
        <v>21.142857142857142</v>
      </c>
      <c r="G18" s="8">
        <f>TypesTable3[[#This Row],[المستهدف - الأسبوعي]]/6</f>
        <v>3.5238095238095237</v>
      </c>
    </row>
    <row r="19" spans="1:7" ht="30" customHeight="1" x14ac:dyDescent="0.25">
      <c r="A19" s="5" t="s">
        <v>15</v>
      </c>
      <c r="B19" s="6">
        <v>176</v>
      </c>
      <c r="C19" s="6">
        <v>236</v>
      </c>
      <c r="D19" s="6">
        <f>TypesTable3[[#This Row],[المستهدف]]-TypesTable3[[#This Row],[ملك الشركة - المنفذ]]</f>
        <v>60</v>
      </c>
      <c r="E19" s="7">
        <f>(TypesTable3[[#This Row],[ملك الشركة - المنفذ]]/TypesTable3[[#This Row],[المستهدف]])</f>
        <v>0.74576271186440679</v>
      </c>
      <c r="F19" s="8">
        <f>TypesTable3[[#This Row],[المستهدف]]/7</f>
        <v>33.714285714285715</v>
      </c>
      <c r="G19" s="8">
        <f>TypesTable3[[#This Row],[المستهدف - الأسبوعي]]/6</f>
        <v>5.6190476190476195</v>
      </c>
    </row>
    <row r="20" spans="1:7" ht="30" customHeight="1" x14ac:dyDescent="0.25">
      <c r="A20" s="5" t="s">
        <v>16</v>
      </c>
      <c r="B20" s="6">
        <v>137</v>
      </c>
      <c r="C20" s="6">
        <v>157</v>
      </c>
      <c r="D20" s="6">
        <f>TypesTable3[[#This Row],[المستهدف]]-TypesTable3[[#This Row],[ملك الشركة - المنفذ]]</f>
        <v>20</v>
      </c>
      <c r="E20" s="7">
        <f>(TypesTable3[[#This Row],[ملك الشركة - المنفذ]]/TypesTable3[[#This Row],[المستهدف]])</f>
        <v>0.87261146496815289</v>
      </c>
      <c r="F20" s="8">
        <f>TypesTable3[[#This Row],[المستهدف]]/7</f>
        <v>22.428571428571427</v>
      </c>
      <c r="G20" s="8">
        <f>TypesTable3[[#This Row],[المستهدف - الأسبوعي]]/6</f>
        <v>3.7380952380952377</v>
      </c>
    </row>
    <row r="21" spans="1:7" ht="30" customHeight="1" x14ac:dyDescent="0.25">
      <c r="A21" s="5" t="s">
        <v>17</v>
      </c>
      <c r="B21" s="6">
        <v>104</v>
      </c>
      <c r="C21" s="6">
        <v>274</v>
      </c>
      <c r="D21" s="6">
        <f>TypesTable3[[#This Row],[المستهدف]]-TypesTable3[[#This Row],[ملك الشركة - المنفذ]]</f>
        <v>170</v>
      </c>
      <c r="E21" s="7">
        <f>(TypesTable3[[#This Row],[ملك الشركة - المنفذ]]/TypesTable3[[#This Row],[المستهدف]])</f>
        <v>0.37956204379562042</v>
      </c>
      <c r="F21" s="8">
        <f>TypesTable3[[#This Row],[المستهدف]]/7</f>
        <v>39.142857142857146</v>
      </c>
      <c r="G21" s="8">
        <f>TypesTable3[[#This Row],[المستهدف - الأسبوعي]]/6</f>
        <v>6.5238095238095246</v>
      </c>
    </row>
    <row r="22" spans="1:7" ht="30" customHeight="1" x14ac:dyDescent="0.25">
      <c r="A22" s="5" t="s">
        <v>18</v>
      </c>
      <c r="B22" s="6">
        <v>174</v>
      </c>
      <c r="C22" s="6">
        <v>178</v>
      </c>
      <c r="D22" s="6">
        <f>TypesTable3[[#This Row],[المستهدف]]-TypesTable3[[#This Row],[ملك الشركة - المنفذ]]</f>
        <v>4</v>
      </c>
      <c r="E22" s="7">
        <f>(TypesTable3[[#This Row],[ملك الشركة - المنفذ]]/TypesTable3[[#This Row],[المستهدف]])</f>
        <v>0.97752808988764039</v>
      </c>
      <c r="F22" s="8">
        <f>TypesTable3[[#This Row],[المستهدف]]/7</f>
        <v>25.428571428571427</v>
      </c>
      <c r="G22" s="8">
        <f>TypesTable3[[#This Row],[المستهدف - الأسبوعي]]/6</f>
        <v>4.2380952380952381</v>
      </c>
    </row>
    <row r="23" spans="1:7" ht="30" customHeight="1" x14ac:dyDescent="0.25">
      <c r="A23" s="5" t="s">
        <v>19</v>
      </c>
      <c r="B23" s="6">
        <v>207</v>
      </c>
      <c r="C23" s="6">
        <v>221</v>
      </c>
      <c r="D23" s="6">
        <f>TypesTable3[[#This Row],[المستهدف]]-TypesTable3[[#This Row],[ملك الشركة - المنفذ]]</f>
        <v>14</v>
      </c>
      <c r="E23" s="7">
        <f>(TypesTable3[[#This Row],[ملك الشركة - المنفذ]]/TypesTable3[[#This Row],[المستهدف]])</f>
        <v>0.93665158371040724</v>
      </c>
      <c r="F23" s="8">
        <f>TypesTable3[[#This Row],[المستهدف]]/7</f>
        <v>31.571428571428573</v>
      </c>
      <c r="G23" s="8">
        <f>TypesTable3[[#This Row],[المستهدف - الأسبوعي]]/6</f>
        <v>5.2619047619047619</v>
      </c>
    </row>
    <row r="24" spans="1:7" ht="30" customHeight="1" x14ac:dyDescent="0.25">
      <c r="A24" s="5" t="s">
        <v>20</v>
      </c>
      <c r="B24" s="6">
        <v>171</v>
      </c>
      <c r="C24" s="6">
        <v>172</v>
      </c>
      <c r="D24" s="6">
        <f>TypesTable3[[#This Row],[المستهدف]]-TypesTable3[[#This Row],[ملك الشركة - المنفذ]]</f>
        <v>1</v>
      </c>
      <c r="E24" s="7">
        <f>(TypesTable3[[#This Row],[ملك الشركة - المنفذ]]/TypesTable3[[#This Row],[المستهدف]])</f>
        <v>0.9941860465116279</v>
      </c>
      <c r="F24" s="8">
        <f>TypesTable3[[#This Row],[المستهدف]]/7</f>
        <v>24.571428571428573</v>
      </c>
      <c r="G24" s="8">
        <f>TypesTable3[[#This Row],[المستهدف - الأسبوعي]]/6</f>
        <v>4.0952380952380958</v>
      </c>
    </row>
    <row r="25" spans="1:7" ht="30" customHeight="1" x14ac:dyDescent="0.25">
      <c r="A25" s="5" t="s">
        <v>21</v>
      </c>
      <c r="B25" s="6">
        <v>163</v>
      </c>
      <c r="C25" s="6">
        <v>208</v>
      </c>
      <c r="D25" s="6">
        <f>TypesTable3[[#This Row],[المستهدف]]-TypesTable3[[#This Row],[ملك الشركة - المنفذ]]</f>
        <v>45</v>
      </c>
      <c r="E25" s="7">
        <f>(TypesTable3[[#This Row],[ملك الشركة - المنفذ]]/TypesTable3[[#This Row],[المستهدف]])</f>
        <v>0.78365384615384615</v>
      </c>
      <c r="F25" s="8">
        <f>TypesTable3[[#This Row],[المستهدف]]/7</f>
        <v>29.714285714285715</v>
      </c>
      <c r="G25" s="8">
        <f>TypesTable3[[#This Row],[المستهدف - الأسبوعي]]/6</f>
        <v>4.9523809523809526</v>
      </c>
    </row>
    <row r="26" spans="1:7" ht="30" customHeight="1" x14ac:dyDescent="0.25">
      <c r="A26" s="5" t="s">
        <v>22</v>
      </c>
      <c r="B26" s="6">
        <v>161</v>
      </c>
      <c r="C26" s="6">
        <v>247</v>
      </c>
      <c r="D26" s="6">
        <f>TypesTable3[[#This Row],[المستهدف]]-TypesTable3[[#This Row],[ملك الشركة - المنفذ]]</f>
        <v>86</v>
      </c>
      <c r="E26" s="7">
        <f>(TypesTable3[[#This Row],[ملك الشركة - المنفذ]]/TypesTable3[[#This Row],[المستهدف]])</f>
        <v>0.65182186234817818</v>
      </c>
      <c r="F26" s="8">
        <f>TypesTable3[[#This Row],[المستهدف]]/7</f>
        <v>35.285714285714285</v>
      </c>
      <c r="G26" s="8">
        <f>TypesTable3[[#This Row],[المستهدف - الأسبوعي]]/6</f>
        <v>5.8809523809523805</v>
      </c>
    </row>
    <row r="27" spans="1:7" ht="30" customHeight="1" x14ac:dyDescent="0.25">
      <c r="A27" s="5" t="s">
        <v>23</v>
      </c>
      <c r="B27" s="6">
        <v>82</v>
      </c>
      <c r="C27" s="6">
        <v>72</v>
      </c>
      <c r="D27" s="6">
        <f>TypesTable3[[#This Row],[المستهدف]]-TypesTable3[[#This Row],[ملك الشركة - المنفذ]]</f>
        <v>-10</v>
      </c>
      <c r="E27" s="7">
        <f>(TypesTable3[[#This Row],[ملك الشركة - المنفذ]]/TypesTable3[[#This Row],[المستهدف]])</f>
        <v>1.1388888888888888</v>
      </c>
      <c r="F27" s="8">
        <f>TypesTable3[[#This Row],[المستهدف]]/7</f>
        <v>10.285714285714286</v>
      </c>
      <c r="G27" s="8">
        <f>TypesTable3[[#This Row],[المستهدف - الأسبوعي]]/6</f>
        <v>1.7142857142857144</v>
      </c>
    </row>
    <row r="28" spans="1:7" ht="30" customHeight="1" x14ac:dyDescent="0.25">
      <c r="A28" s="5" t="s">
        <v>24</v>
      </c>
      <c r="B28" s="6">
        <v>129</v>
      </c>
      <c r="C28" s="6">
        <v>231</v>
      </c>
      <c r="D28" s="6">
        <f>TypesTable3[[#This Row],[المستهدف]]-TypesTable3[[#This Row],[ملك الشركة - المنفذ]]</f>
        <v>102</v>
      </c>
      <c r="E28" s="7">
        <f>(TypesTable3[[#This Row],[ملك الشركة - المنفذ]]/TypesTable3[[#This Row],[المستهدف]])</f>
        <v>0.55844155844155841</v>
      </c>
      <c r="F28" s="8">
        <f>TypesTable3[[#This Row],[المستهدف]]/7</f>
        <v>33</v>
      </c>
      <c r="G28" s="8">
        <f>TypesTable3[[#This Row],[المستهدف - الأسبوعي]]/6</f>
        <v>5.5</v>
      </c>
    </row>
    <row r="29" spans="1:7" ht="30" customHeight="1" x14ac:dyDescent="0.25">
      <c r="A29" s="9" t="s">
        <v>55</v>
      </c>
      <c r="B29" s="10">
        <f>SUBTOTAL(109,B15:B28)</f>
        <v>2062</v>
      </c>
      <c r="C29" s="10">
        <f t="shared" ref="C29:D29" si="0">SUBTOTAL(109,C15:C28)</f>
        <v>2637</v>
      </c>
      <c r="D29" s="10">
        <f t="shared" si="0"/>
        <v>575</v>
      </c>
      <c r="E29" s="11">
        <f>(TypesTable3[[#This Row],[ملك الشركة - المنفذ]]/TypesTable3[[#This Row],[المستهدف]])</f>
        <v>0.78194918467956009</v>
      </c>
      <c r="F29" s="12">
        <f>TypesTable3[[#This Row],[المستهدف]]/7</f>
        <v>376.71428571428572</v>
      </c>
      <c r="G29" s="12">
        <f>TypesTable3[[#This Row],[المستهدف - الأسبوعي]]/6</f>
        <v>62.785714285714285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44CD-6411-4414-85CD-4552DF8E101D}">
  <dimension ref="A1:G16"/>
  <sheetViews>
    <sheetView rightToLeft="1" workbookViewId="0">
      <selection sqref="A1:XFD1048576"/>
    </sheetView>
  </sheetViews>
  <sheetFormatPr defaultRowHeight="15" x14ac:dyDescent="0.25"/>
  <cols>
    <col min="1" max="1" width="30" style="3" bestFit="1" customWidth="1"/>
    <col min="2" max="2" width="21" style="2" bestFit="1" customWidth="1"/>
    <col min="3" max="3" width="13.42578125" style="2" bestFit="1" customWidth="1"/>
    <col min="4" max="4" width="11.140625" style="2" bestFit="1" customWidth="1"/>
    <col min="5" max="5" width="13.140625" style="2" bestFit="1" customWidth="1"/>
    <col min="6" max="6" width="23" style="2" bestFit="1" customWidth="1"/>
    <col min="7" max="7" width="19.140625" style="2" bestFit="1" customWidth="1"/>
    <col min="8" max="16384" width="9.140625" style="2"/>
  </cols>
  <sheetData>
    <row r="1" spans="1:7" ht="33.75" x14ac:dyDescent="0.25">
      <c r="A1" s="13" t="s">
        <v>61</v>
      </c>
      <c r="B1" s="13"/>
      <c r="C1" s="13"/>
      <c r="D1" s="13"/>
      <c r="E1" s="13"/>
      <c r="F1" s="13"/>
      <c r="G1" s="13"/>
    </row>
    <row r="2" spans="1:7" s="1" customFormat="1" ht="30" customHeight="1" x14ac:dyDescent="0.25">
      <c r="A2" s="14" t="s">
        <v>58</v>
      </c>
      <c r="B2" s="4" t="s">
        <v>66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60</v>
      </c>
    </row>
    <row r="3" spans="1:7" ht="30" customHeight="1" x14ac:dyDescent="0.25">
      <c r="A3" s="5" t="s">
        <v>25</v>
      </c>
      <c r="B3" s="6">
        <v>345</v>
      </c>
      <c r="C3" s="6">
        <v>421</v>
      </c>
      <c r="D3" s="6">
        <f>TypesTable4[[#This Row],[المستهدف]]-TypesTable4[[#This Row],[ملك الشركة - المنفذ]]</f>
        <v>76</v>
      </c>
      <c r="E3" s="7">
        <f>(TypesTable4[[#This Row],[ملك الشركة - المنفذ]]/TypesTable4[[#This Row],[المستهدف]])</f>
        <v>0.81947743467933487</v>
      </c>
      <c r="F3" s="8">
        <f>TypesTable4[[#This Row],[المستهدف]]/7</f>
        <v>60.142857142857146</v>
      </c>
      <c r="G3" s="8">
        <f>TypesTable4[[#This Row],[المستهدف - الأسبوعي]]/6</f>
        <v>10.023809523809524</v>
      </c>
    </row>
    <row r="4" spans="1:7" ht="30" customHeight="1" x14ac:dyDescent="0.25">
      <c r="A4" s="5" t="s">
        <v>26</v>
      </c>
      <c r="B4" s="6">
        <v>73</v>
      </c>
      <c r="C4" s="6">
        <v>597</v>
      </c>
      <c r="D4" s="6">
        <f>TypesTable4[[#This Row],[المستهدف]]-TypesTable4[[#This Row],[ملك الشركة - المنفذ]]</f>
        <v>524</v>
      </c>
      <c r="E4" s="7">
        <f>(TypesTable4[[#This Row],[ملك الشركة - المنفذ]]/TypesTable4[[#This Row],[المستهدف]])</f>
        <v>0.12227805695142378</v>
      </c>
      <c r="F4" s="8">
        <f>TypesTable4[[#This Row],[المستهدف]]/7</f>
        <v>85.285714285714292</v>
      </c>
      <c r="G4" s="8">
        <f>TypesTable4[[#This Row],[المستهدف - الأسبوعي]]/6</f>
        <v>14.214285714285715</v>
      </c>
    </row>
    <row r="5" spans="1:7" ht="30" customHeight="1" x14ac:dyDescent="0.25">
      <c r="A5" s="5" t="s">
        <v>27</v>
      </c>
      <c r="B5" s="6">
        <v>77</v>
      </c>
      <c r="C5" s="6">
        <v>365</v>
      </c>
      <c r="D5" s="6">
        <f>TypesTable4[[#This Row],[المستهدف]]-TypesTable4[[#This Row],[ملك الشركة - المنفذ]]</f>
        <v>288</v>
      </c>
      <c r="E5" s="7">
        <f>(TypesTable4[[#This Row],[ملك الشركة - المنفذ]]/TypesTable4[[#This Row],[المستهدف]])</f>
        <v>0.21095890410958903</v>
      </c>
      <c r="F5" s="8">
        <f>TypesTable4[[#This Row],[المستهدف]]/7</f>
        <v>52.142857142857146</v>
      </c>
      <c r="G5" s="8">
        <f>TypesTable4[[#This Row],[المستهدف - الأسبوعي]]/6</f>
        <v>8.6904761904761916</v>
      </c>
    </row>
    <row r="6" spans="1:7" ht="30" customHeight="1" x14ac:dyDescent="0.25">
      <c r="A6" s="5" t="s">
        <v>28</v>
      </c>
      <c r="B6" s="6">
        <v>142</v>
      </c>
      <c r="C6" s="6">
        <v>236</v>
      </c>
      <c r="D6" s="6">
        <f>TypesTable4[[#This Row],[المستهدف]]-TypesTable4[[#This Row],[ملك الشركة - المنفذ]]</f>
        <v>94</v>
      </c>
      <c r="E6" s="7">
        <f>(TypesTable4[[#This Row],[ملك الشركة - المنفذ]]/TypesTable4[[#This Row],[المستهدف]])</f>
        <v>0.60169491525423724</v>
      </c>
      <c r="F6" s="8">
        <f>TypesTable4[[#This Row],[المستهدف]]/7</f>
        <v>33.714285714285715</v>
      </c>
      <c r="G6" s="8">
        <f>TypesTable4[[#This Row],[المستهدف - الأسبوعي]]/6</f>
        <v>5.6190476190476195</v>
      </c>
    </row>
    <row r="7" spans="1:7" ht="30" customHeight="1" x14ac:dyDescent="0.25">
      <c r="A7" s="5" t="s">
        <v>29</v>
      </c>
      <c r="B7" s="6">
        <v>95</v>
      </c>
      <c r="C7" s="6">
        <v>305</v>
      </c>
      <c r="D7" s="6">
        <f>TypesTable4[[#This Row],[المستهدف]]-TypesTable4[[#This Row],[ملك الشركة - المنفذ]]</f>
        <v>210</v>
      </c>
      <c r="E7" s="7">
        <f>(TypesTable4[[#This Row],[ملك الشركة - المنفذ]]/TypesTable4[[#This Row],[المستهدف]])</f>
        <v>0.31147540983606559</v>
      </c>
      <c r="F7" s="8">
        <f>TypesTable4[[#This Row],[المستهدف]]/7</f>
        <v>43.571428571428569</v>
      </c>
      <c r="G7" s="8">
        <f>TypesTable4[[#This Row],[المستهدف - الأسبوعي]]/6</f>
        <v>7.2619047619047619</v>
      </c>
    </row>
    <row r="8" spans="1:7" ht="30" customHeight="1" x14ac:dyDescent="0.25">
      <c r="A8" s="5" t="s">
        <v>30</v>
      </c>
      <c r="B8" s="6">
        <v>100</v>
      </c>
      <c r="C8" s="6">
        <v>210</v>
      </c>
      <c r="D8" s="6">
        <f>TypesTable4[[#This Row],[المستهدف]]-TypesTable4[[#This Row],[ملك الشركة - المنفذ]]</f>
        <v>110</v>
      </c>
      <c r="E8" s="7">
        <f>(TypesTable4[[#This Row],[ملك الشركة - المنفذ]]/TypesTable4[[#This Row],[المستهدف]])</f>
        <v>0.47619047619047616</v>
      </c>
      <c r="F8" s="8">
        <f>TypesTable4[[#This Row],[المستهدف]]/7</f>
        <v>30</v>
      </c>
      <c r="G8" s="8">
        <f>TypesTable4[[#This Row],[المستهدف - الأسبوعي]]/6</f>
        <v>5</v>
      </c>
    </row>
    <row r="9" spans="1:7" ht="30" customHeight="1" x14ac:dyDescent="0.25">
      <c r="A9" s="5" t="s">
        <v>31</v>
      </c>
      <c r="B9" s="6">
        <v>251</v>
      </c>
      <c r="C9" s="6">
        <v>383</v>
      </c>
      <c r="D9" s="6">
        <f>TypesTable4[[#This Row],[المستهدف]]-TypesTable4[[#This Row],[ملك الشركة - المنفذ]]</f>
        <v>132</v>
      </c>
      <c r="E9" s="7">
        <f>(TypesTable4[[#This Row],[ملك الشركة - المنفذ]]/TypesTable4[[#This Row],[المستهدف]])</f>
        <v>0.65535248041775462</v>
      </c>
      <c r="F9" s="8">
        <f>TypesTable4[[#This Row],[المستهدف]]/7</f>
        <v>54.714285714285715</v>
      </c>
      <c r="G9" s="8">
        <f>TypesTable4[[#This Row],[المستهدف - الأسبوعي]]/6</f>
        <v>9.1190476190476186</v>
      </c>
    </row>
    <row r="10" spans="1:7" ht="30" customHeight="1" x14ac:dyDescent="0.25">
      <c r="A10" s="5" t="s">
        <v>32</v>
      </c>
      <c r="B10" s="6">
        <v>71</v>
      </c>
      <c r="C10" s="6">
        <v>87</v>
      </c>
      <c r="D10" s="6">
        <f>TypesTable4[[#This Row],[المستهدف]]-TypesTable4[[#This Row],[ملك الشركة - المنفذ]]</f>
        <v>16</v>
      </c>
      <c r="E10" s="7">
        <f>(TypesTable4[[#This Row],[ملك الشركة - المنفذ]]/TypesTable4[[#This Row],[المستهدف]])</f>
        <v>0.81609195402298851</v>
      </c>
      <c r="F10" s="8">
        <f>TypesTable4[[#This Row],[المستهدف]]/7</f>
        <v>12.428571428571429</v>
      </c>
      <c r="G10" s="8">
        <f>TypesTable4[[#This Row],[المستهدف - الأسبوعي]]/6</f>
        <v>2.0714285714285716</v>
      </c>
    </row>
    <row r="11" spans="1:7" ht="30" customHeight="1" x14ac:dyDescent="0.25">
      <c r="A11" s="5" t="s">
        <v>33</v>
      </c>
      <c r="B11" s="6">
        <v>53</v>
      </c>
      <c r="C11" s="6">
        <v>434</v>
      </c>
      <c r="D11" s="6">
        <f>TypesTable4[[#This Row],[المستهدف]]-TypesTable4[[#This Row],[ملك الشركة - المنفذ]]</f>
        <v>381</v>
      </c>
      <c r="E11" s="7">
        <f>(TypesTable4[[#This Row],[ملك الشركة - المنفذ]]/TypesTable4[[#This Row],[المستهدف]])</f>
        <v>0.12211981566820276</v>
      </c>
      <c r="F11" s="8">
        <f>TypesTable4[[#This Row],[المستهدف]]/7</f>
        <v>62</v>
      </c>
      <c r="G11" s="8">
        <f>TypesTable4[[#This Row],[المستهدف - الأسبوعي]]/6</f>
        <v>10.333333333333334</v>
      </c>
    </row>
    <row r="12" spans="1:7" ht="30" customHeight="1" x14ac:dyDescent="0.25">
      <c r="A12" s="5" t="s">
        <v>34</v>
      </c>
      <c r="B12" s="6">
        <v>67</v>
      </c>
      <c r="C12" s="6">
        <v>203</v>
      </c>
      <c r="D12" s="6">
        <f>TypesTable4[[#This Row],[المستهدف]]-TypesTable4[[#This Row],[ملك الشركة - المنفذ]]</f>
        <v>136</v>
      </c>
      <c r="E12" s="7">
        <f>(TypesTable4[[#This Row],[ملك الشركة - المنفذ]]/TypesTable4[[#This Row],[المستهدف]])</f>
        <v>0.33004926108374383</v>
      </c>
      <c r="F12" s="8">
        <f>TypesTable4[[#This Row],[المستهدف]]/7</f>
        <v>29</v>
      </c>
      <c r="G12" s="8">
        <f>TypesTable4[[#This Row],[المستهدف - الأسبوعي]]/6</f>
        <v>4.833333333333333</v>
      </c>
    </row>
    <row r="13" spans="1:7" ht="30" customHeight="1" x14ac:dyDescent="0.25">
      <c r="A13" s="5" t="s">
        <v>35</v>
      </c>
      <c r="B13" s="6">
        <v>24</v>
      </c>
      <c r="C13" s="6">
        <v>119</v>
      </c>
      <c r="D13" s="6">
        <f>TypesTable4[[#This Row],[المستهدف]]-TypesTable4[[#This Row],[ملك الشركة - المنفذ]]</f>
        <v>95</v>
      </c>
      <c r="E13" s="7">
        <f>(TypesTable4[[#This Row],[ملك الشركة - المنفذ]]/TypesTable4[[#This Row],[المستهدف]])</f>
        <v>0.20168067226890757</v>
      </c>
      <c r="F13" s="8">
        <f>TypesTable4[[#This Row],[المستهدف]]/7</f>
        <v>17</v>
      </c>
      <c r="G13" s="8">
        <f>TypesTable4[[#This Row],[المستهدف - الأسبوعي]]/6</f>
        <v>2.8333333333333335</v>
      </c>
    </row>
    <row r="14" spans="1:7" ht="30" customHeight="1" x14ac:dyDescent="0.25">
      <c r="A14" s="5" t="s">
        <v>36</v>
      </c>
      <c r="B14" s="6">
        <v>133</v>
      </c>
      <c r="C14" s="6">
        <v>236</v>
      </c>
      <c r="D14" s="6">
        <f>TypesTable4[[#This Row],[المستهدف]]-TypesTable4[[#This Row],[ملك الشركة - المنفذ]]</f>
        <v>103</v>
      </c>
      <c r="E14" s="7">
        <f>(TypesTable4[[#This Row],[ملك الشركة - المنفذ]]/TypesTable4[[#This Row],[المستهدف]])</f>
        <v>0.56355932203389836</v>
      </c>
      <c r="F14" s="8">
        <f>TypesTable4[[#This Row],[المستهدف]]/7</f>
        <v>33.714285714285715</v>
      </c>
      <c r="G14" s="8">
        <f>TypesTable4[[#This Row],[المستهدف - الأسبوعي]]/6</f>
        <v>5.6190476190476195</v>
      </c>
    </row>
    <row r="15" spans="1:7" ht="30" customHeight="1" x14ac:dyDescent="0.25">
      <c r="A15" s="5" t="s">
        <v>37</v>
      </c>
      <c r="B15" s="6">
        <v>83</v>
      </c>
      <c r="C15" s="6">
        <v>179</v>
      </c>
      <c r="D15" s="6">
        <f>TypesTable4[[#This Row],[المستهدف]]-TypesTable4[[#This Row],[ملك الشركة - المنفذ]]</f>
        <v>96</v>
      </c>
      <c r="E15" s="7">
        <f>(TypesTable4[[#This Row],[ملك الشركة - المنفذ]]/TypesTable4[[#This Row],[المستهدف]])</f>
        <v>0.46368715083798884</v>
      </c>
      <c r="F15" s="8">
        <f>TypesTable4[[#This Row],[المستهدف]]/7</f>
        <v>25.571428571428573</v>
      </c>
      <c r="G15" s="8">
        <f>TypesTable4[[#This Row],[المستهدف - الأسبوعي]]/6</f>
        <v>4.2619047619047619</v>
      </c>
    </row>
    <row r="16" spans="1:7" ht="30" customHeight="1" x14ac:dyDescent="0.25">
      <c r="A16" s="9" t="s">
        <v>67</v>
      </c>
      <c r="B16" s="10">
        <f>SUBTOTAL(109,B3:B15)</f>
        <v>1514</v>
      </c>
      <c r="C16" s="10">
        <f t="shared" ref="C16:D16" si="0">SUBTOTAL(109,C3:C15)</f>
        <v>3775</v>
      </c>
      <c r="D16" s="10">
        <f t="shared" si="0"/>
        <v>2261</v>
      </c>
      <c r="E16" s="11">
        <f>(TypesTable4[[#This Row],[ملك الشركة - المنفذ]]/TypesTable4[[#This Row],[المستهدف]])</f>
        <v>0.40105960264900664</v>
      </c>
      <c r="F16" s="12">
        <f>TypesTable4[[#This Row],[المستهدف]]/7</f>
        <v>539.28571428571433</v>
      </c>
      <c r="G16" s="12">
        <f>TypesTable4[[#This Row],[المستهدف - الأسبوعي]]/6</f>
        <v>89.880952380952394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1C7-08DF-42A5-A2D9-EFB53A49056D}">
  <dimension ref="A1:G61"/>
  <sheetViews>
    <sheetView rightToLeft="1" workbookViewId="0">
      <selection sqref="A1:XFD1048576"/>
    </sheetView>
  </sheetViews>
  <sheetFormatPr defaultRowHeight="15" x14ac:dyDescent="0.25"/>
  <cols>
    <col min="1" max="1" width="30.85546875" style="2" bestFit="1" customWidth="1"/>
    <col min="2" max="2" width="21.28515625" style="2" bestFit="1" customWidth="1"/>
    <col min="3" max="3" width="13.42578125" style="2" bestFit="1" customWidth="1"/>
    <col min="4" max="4" width="11.140625" style="2" bestFit="1" customWidth="1"/>
    <col min="5" max="5" width="13.140625" style="2" bestFit="1" customWidth="1"/>
    <col min="6" max="6" width="23.85546875" style="2" bestFit="1" customWidth="1"/>
    <col min="7" max="7" width="19.140625" style="2" bestFit="1" customWidth="1"/>
    <col min="8" max="16384" width="9.140625" style="2"/>
  </cols>
  <sheetData>
    <row r="1" spans="1:7" ht="33.75" x14ac:dyDescent="0.25">
      <c r="A1" s="13" t="s">
        <v>61</v>
      </c>
      <c r="B1" s="13"/>
      <c r="C1" s="13"/>
      <c r="D1" s="13"/>
      <c r="E1" s="13"/>
      <c r="F1" s="13"/>
      <c r="G1" s="13"/>
    </row>
    <row r="2" spans="1:7" s="1" customFormat="1" ht="18" hidden="1" customHeight="1" x14ac:dyDescent="0.25">
      <c r="A2" s="4" t="s">
        <v>56</v>
      </c>
      <c r="B2" s="4" t="s">
        <v>66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60</v>
      </c>
    </row>
    <row r="3" spans="1:7" ht="18" hidden="1" customHeight="1" x14ac:dyDescent="0.25">
      <c r="A3" s="6" t="s">
        <v>0</v>
      </c>
      <c r="B3" s="6">
        <v>0</v>
      </c>
      <c r="C3" s="6">
        <v>215</v>
      </c>
      <c r="D3" s="6">
        <f>TypesTable5[[#This Row],[المستهدف]]-TypesTable5[[#This Row],[ملك الشركة - المنفذ]]</f>
        <v>215</v>
      </c>
      <c r="E3" s="7">
        <f>(TypesTable5[[#This Row],[ملك الشركة - المنفذ]]/TypesTable5[[#This Row],[المستهدف]])</f>
        <v>0</v>
      </c>
      <c r="F3" s="8">
        <f>TypesTable5[[#This Row],[المستهدف]]/7</f>
        <v>30.714285714285715</v>
      </c>
      <c r="G3" s="8">
        <f>TypesTable5[[#This Row],[المستهدف - الأسبوعي]]/6</f>
        <v>5.1190476190476195</v>
      </c>
    </row>
    <row r="4" spans="1:7" ht="18" hidden="1" customHeight="1" x14ac:dyDescent="0.25">
      <c r="A4" s="6" t="s">
        <v>1</v>
      </c>
      <c r="B4" s="6">
        <v>86</v>
      </c>
      <c r="C4" s="6">
        <v>280</v>
      </c>
      <c r="D4" s="6">
        <f>TypesTable5[[#This Row],[المستهدف]]-TypesTable5[[#This Row],[ملك الشركة - المنفذ]]</f>
        <v>194</v>
      </c>
      <c r="E4" s="7">
        <f>(TypesTable5[[#This Row],[ملك الشركة - المنفذ]]/TypesTable5[[#This Row],[المستهدف]])</f>
        <v>0.30714285714285716</v>
      </c>
      <c r="F4" s="8">
        <f>TypesTable5[[#This Row],[المستهدف]]/7</f>
        <v>40</v>
      </c>
      <c r="G4" s="8">
        <f>TypesTable5[[#This Row],[المستهدف - الأسبوعي]]/6</f>
        <v>6.666666666666667</v>
      </c>
    </row>
    <row r="5" spans="1:7" ht="18" hidden="1" customHeight="1" x14ac:dyDescent="0.25">
      <c r="A5" s="6" t="s">
        <v>2</v>
      </c>
      <c r="B5" s="6">
        <v>0</v>
      </c>
      <c r="C5" s="6">
        <v>66</v>
      </c>
      <c r="D5" s="6">
        <f>TypesTable5[[#This Row],[المستهدف]]-TypesTable5[[#This Row],[ملك الشركة - المنفذ]]</f>
        <v>66</v>
      </c>
      <c r="E5" s="7">
        <f>(TypesTable5[[#This Row],[ملك الشركة - المنفذ]]/TypesTable5[[#This Row],[المستهدف]])</f>
        <v>0</v>
      </c>
      <c r="F5" s="8">
        <f>TypesTable5[[#This Row],[المستهدف]]/7</f>
        <v>9.4285714285714288</v>
      </c>
      <c r="G5" s="8">
        <f>TypesTable5[[#This Row],[المستهدف - الأسبوعي]]/6</f>
        <v>1.5714285714285714</v>
      </c>
    </row>
    <row r="6" spans="1:7" ht="18" hidden="1" customHeight="1" x14ac:dyDescent="0.25">
      <c r="A6" s="6" t="s">
        <v>3</v>
      </c>
      <c r="B6" s="6">
        <v>10</v>
      </c>
      <c r="C6" s="6">
        <v>242</v>
      </c>
      <c r="D6" s="6">
        <f>TypesTable5[[#This Row],[المستهدف]]-TypesTable5[[#This Row],[ملك الشركة - المنفذ]]</f>
        <v>232</v>
      </c>
      <c r="E6" s="7">
        <f>(TypesTable5[[#This Row],[ملك الشركة - المنفذ]]/TypesTable5[[#This Row],[المستهدف]])</f>
        <v>4.1322314049586778E-2</v>
      </c>
      <c r="F6" s="8">
        <f>TypesTable5[[#This Row],[المستهدف]]/7</f>
        <v>34.571428571428569</v>
      </c>
      <c r="G6" s="8">
        <f>TypesTable5[[#This Row],[المستهدف - الأسبوعي]]/6</f>
        <v>5.7619047619047619</v>
      </c>
    </row>
    <row r="7" spans="1:7" ht="18" hidden="1" customHeight="1" x14ac:dyDescent="0.25">
      <c r="A7" s="6" t="s">
        <v>4</v>
      </c>
      <c r="B7" s="6">
        <v>0</v>
      </c>
      <c r="C7" s="6">
        <v>200</v>
      </c>
      <c r="D7" s="6">
        <f>TypesTable5[[#This Row],[المستهدف]]-TypesTable5[[#This Row],[ملك الشركة - المنفذ]]</f>
        <v>200</v>
      </c>
      <c r="E7" s="7">
        <f>(TypesTable5[[#This Row],[ملك الشركة - المنفذ]]/TypesTable5[[#This Row],[المستهدف]])</f>
        <v>0</v>
      </c>
      <c r="F7" s="8">
        <f>TypesTable5[[#This Row],[المستهدف]]/7</f>
        <v>28.571428571428573</v>
      </c>
      <c r="G7" s="8">
        <f>TypesTable5[[#This Row],[المستهدف - الأسبوعي]]/6</f>
        <v>4.7619047619047619</v>
      </c>
    </row>
    <row r="8" spans="1:7" ht="18" hidden="1" customHeight="1" x14ac:dyDescent="0.25">
      <c r="A8" s="6" t="s">
        <v>5</v>
      </c>
      <c r="B8" s="6">
        <v>10</v>
      </c>
      <c r="C8" s="6">
        <v>205</v>
      </c>
      <c r="D8" s="6">
        <f>TypesTable5[[#This Row],[المستهدف]]-TypesTable5[[#This Row],[ملك الشركة - المنفذ]]</f>
        <v>195</v>
      </c>
      <c r="E8" s="7">
        <f>(TypesTable5[[#This Row],[ملك الشركة - المنفذ]]/TypesTable5[[#This Row],[المستهدف]])</f>
        <v>4.878048780487805E-2</v>
      </c>
      <c r="F8" s="8">
        <f>TypesTable5[[#This Row],[المستهدف]]/7</f>
        <v>29.285714285714285</v>
      </c>
      <c r="G8" s="8">
        <f>TypesTable5[[#This Row],[المستهدف - الأسبوعي]]/6</f>
        <v>4.8809523809523805</v>
      </c>
    </row>
    <row r="9" spans="1:7" ht="18" hidden="1" customHeight="1" x14ac:dyDescent="0.25">
      <c r="A9" s="6" t="s">
        <v>6</v>
      </c>
      <c r="B9" s="6">
        <v>0</v>
      </c>
      <c r="C9" s="6">
        <v>669</v>
      </c>
      <c r="D9" s="6">
        <f>TypesTable5[[#This Row],[المستهدف]]-TypesTable5[[#This Row],[ملك الشركة - المنفذ]]</f>
        <v>669</v>
      </c>
      <c r="E9" s="7">
        <f>(TypesTable5[[#This Row],[ملك الشركة - المنفذ]]/TypesTable5[[#This Row],[المستهدف]])</f>
        <v>0</v>
      </c>
      <c r="F9" s="8">
        <f>TypesTable5[[#This Row],[المستهدف]]/7</f>
        <v>95.571428571428569</v>
      </c>
      <c r="G9" s="8">
        <f>TypesTable5[[#This Row],[المستهدف - الأسبوعي]]/6</f>
        <v>15.928571428571429</v>
      </c>
    </row>
    <row r="10" spans="1:7" ht="18" hidden="1" customHeight="1" x14ac:dyDescent="0.25">
      <c r="A10" s="6" t="s">
        <v>7</v>
      </c>
      <c r="B10" s="6">
        <v>7</v>
      </c>
      <c r="C10" s="6">
        <v>171</v>
      </c>
      <c r="D10" s="6">
        <f>TypesTable5[[#This Row],[المستهدف]]-TypesTable5[[#This Row],[ملك الشركة - المنفذ]]</f>
        <v>164</v>
      </c>
      <c r="E10" s="7">
        <f>(TypesTable5[[#This Row],[ملك الشركة - المنفذ]]/TypesTable5[[#This Row],[المستهدف]])</f>
        <v>4.0935672514619881E-2</v>
      </c>
      <c r="F10" s="8">
        <f>TypesTable5[[#This Row],[المستهدف]]/7</f>
        <v>24.428571428571427</v>
      </c>
      <c r="G10" s="8">
        <f>TypesTable5[[#This Row],[المستهدف - الأسبوعي]]/6</f>
        <v>4.0714285714285712</v>
      </c>
    </row>
    <row r="11" spans="1:7" ht="18" hidden="1" customHeight="1" x14ac:dyDescent="0.25">
      <c r="A11" s="6" t="s">
        <v>8</v>
      </c>
      <c r="B11" s="6">
        <v>14</v>
      </c>
      <c r="C11" s="6">
        <v>149</v>
      </c>
      <c r="D11" s="6">
        <f>TypesTable5[[#This Row],[المستهدف]]-TypesTable5[[#This Row],[ملك الشركة - المنفذ]]</f>
        <v>135</v>
      </c>
      <c r="E11" s="7">
        <f>(TypesTable5[[#This Row],[ملك الشركة - المنفذ]]/TypesTable5[[#This Row],[المستهدف]])</f>
        <v>9.3959731543624164E-2</v>
      </c>
      <c r="F11" s="8">
        <f>TypesTable5[[#This Row],[المستهدف]]/7</f>
        <v>21.285714285714285</v>
      </c>
      <c r="G11" s="8">
        <f>TypesTable5[[#This Row],[المستهدف - الأسبوعي]]/6</f>
        <v>3.5476190476190474</v>
      </c>
    </row>
    <row r="12" spans="1:7" ht="18" hidden="1" customHeight="1" x14ac:dyDescent="0.25">
      <c r="A12" s="6" t="s">
        <v>9</v>
      </c>
      <c r="B12" s="6">
        <v>10</v>
      </c>
      <c r="C12" s="6">
        <v>110</v>
      </c>
      <c r="D12" s="6">
        <f>TypesTable5[[#This Row],[المستهدف]]-TypesTable5[[#This Row],[ملك الشركة - المنفذ]]</f>
        <v>100</v>
      </c>
      <c r="E12" s="7">
        <f>(TypesTable5[[#This Row],[ملك الشركة - المنفذ]]/TypesTable5[[#This Row],[المستهدف]])</f>
        <v>9.0909090909090912E-2</v>
      </c>
      <c r="F12" s="8">
        <f>TypesTable5[[#This Row],[المستهدف]]/7</f>
        <v>15.714285714285714</v>
      </c>
      <c r="G12" s="8">
        <f>TypesTable5[[#This Row],[المستهدف - الأسبوعي]]/6</f>
        <v>2.6190476190476191</v>
      </c>
    </row>
    <row r="13" spans="1:7" ht="18" hidden="1" customHeight="1" x14ac:dyDescent="0.25">
      <c r="A13" s="6" t="s">
        <v>10</v>
      </c>
      <c r="B13" s="6">
        <v>11</v>
      </c>
      <c r="C13" s="6">
        <v>146</v>
      </c>
      <c r="D13" s="6">
        <f>TypesTable5[[#This Row],[المستهدف]]-TypesTable5[[#This Row],[ملك الشركة - المنفذ]]</f>
        <v>135</v>
      </c>
      <c r="E13" s="7">
        <f>(TypesTable5[[#This Row],[ملك الشركة - المنفذ]]/TypesTable5[[#This Row],[المستهدف]])</f>
        <v>7.5342465753424653E-2</v>
      </c>
      <c r="F13" s="8">
        <f>TypesTable5[[#This Row],[المستهدف]]/7</f>
        <v>20.857142857142858</v>
      </c>
      <c r="G13" s="8">
        <f>TypesTable5[[#This Row],[المستهدف - الأسبوعي]]/6</f>
        <v>3.4761904761904763</v>
      </c>
    </row>
    <row r="14" spans="1:7" ht="18" hidden="1" customHeight="1" x14ac:dyDescent="0.25">
      <c r="A14" s="10" t="s">
        <v>55</v>
      </c>
      <c r="B14" s="10">
        <f>SUBTOTAL(109,B3:B13)</f>
        <v>0</v>
      </c>
      <c r="C14" s="10">
        <f t="shared" ref="C14:D14" si="0">SUBTOTAL(109,C3:C13)</f>
        <v>0</v>
      </c>
      <c r="D14" s="10">
        <f t="shared" si="0"/>
        <v>0</v>
      </c>
      <c r="E14" s="11" t="e">
        <f>(TypesTable5[[#This Row],[ملك الشركة - المنفذ]]/TypesTable5[[#This Row],[المستهدف]])</f>
        <v>#DIV/0!</v>
      </c>
      <c r="F14" s="12">
        <f>TypesTable5[[#This Row],[المستهدف]]/7</f>
        <v>0</v>
      </c>
      <c r="G14" s="12">
        <f>TypesTable5[[#This Row],[المستهدف - الأسبوعي]]/6</f>
        <v>0</v>
      </c>
    </row>
    <row r="15" spans="1:7" ht="18" hidden="1" customHeight="1" x14ac:dyDescent="0.25">
      <c r="A15" s="6" t="s">
        <v>11</v>
      </c>
      <c r="B15" s="6">
        <v>101</v>
      </c>
      <c r="C15" s="6">
        <v>120</v>
      </c>
      <c r="D15" s="6">
        <f>TypesTable5[[#This Row],[المستهدف]]-TypesTable5[[#This Row],[ملك الشركة - المنفذ]]</f>
        <v>19</v>
      </c>
      <c r="E15" s="7">
        <f>(TypesTable5[[#This Row],[ملك الشركة - المنفذ]]/TypesTable5[[#This Row],[المستهدف]])</f>
        <v>0.84166666666666667</v>
      </c>
      <c r="F15" s="8">
        <f>TypesTable5[[#This Row],[المستهدف]]/7</f>
        <v>17.142857142857142</v>
      </c>
      <c r="G15" s="8">
        <f>TypesTable5[[#This Row],[المستهدف - الأسبوعي]]/6</f>
        <v>2.8571428571428572</v>
      </c>
    </row>
    <row r="16" spans="1:7" ht="18" hidden="1" customHeight="1" x14ac:dyDescent="0.25">
      <c r="A16" s="6" t="s">
        <v>12</v>
      </c>
      <c r="B16" s="6">
        <v>184</v>
      </c>
      <c r="C16" s="6">
        <v>194</v>
      </c>
      <c r="D16" s="6">
        <f>TypesTable5[[#This Row],[المستهدف]]-TypesTable5[[#This Row],[ملك الشركة - المنفذ]]</f>
        <v>10</v>
      </c>
      <c r="E16" s="7">
        <f>(TypesTable5[[#This Row],[ملك الشركة - المنفذ]]/TypesTable5[[#This Row],[المستهدف]])</f>
        <v>0.94845360824742264</v>
      </c>
      <c r="F16" s="8">
        <f>TypesTable5[[#This Row],[المستهدف]]/7</f>
        <v>27.714285714285715</v>
      </c>
      <c r="G16" s="8">
        <f>TypesTable5[[#This Row],[المستهدف - الأسبوعي]]/6</f>
        <v>4.6190476190476195</v>
      </c>
    </row>
    <row r="17" spans="1:7" ht="18" hidden="1" customHeight="1" x14ac:dyDescent="0.25">
      <c r="A17" s="6" t="s">
        <v>13</v>
      </c>
      <c r="B17" s="6">
        <v>213</v>
      </c>
      <c r="C17" s="6">
        <v>179</v>
      </c>
      <c r="D17" s="6">
        <f>TypesTable5[[#This Row],[المستهدف]]-TypesTable5[[#This Row],[ملك الشركة - المنفذ]]</f>
        <v>-34</v>
      </c>
      <c r="E17" s="7">
        <f>(TypesTable5[[#This Row],[ملك الشركة - المنفذ]]/TypesTable5[[#This Row],[المستهدف]])</f>
        <v>1.1899441340782122</v>
      </c>
      <c r="F17" s="8">
        <f>TypesTable5[[#This Row],[المستهدف]]/7</f>
        <v>25.571428571428573</v>
      </c>
      <c r="G17" s="8">
        <f>TypesTable5[[#This Row],[المستهدف - الأسبوعي]]/6</f>
        <v>4.2619047619047619</v>
      </c>
    </row>
    <row r="18" spans="1:7" ht="18" hidden="1" customHeight="1" x14ac:dyDescent="0.25">
      <c r="A18" s="6" t="s">
        <v>14</v>
      </c>
      <c r="B18" s="6">
        <v>60</v>
      </c>
      <c r="C18" s="6">
        <v>148</v>
      </c>
      <c r="D18" s="6">
        <f>TypesTable5[[#This Row],[المستهدف]]-TypesTable5[[#This Row],[ملك الشركة - المنفذ]]</f>
        <v>88</v>
      </c>
      <c r="E18" s="7">
        <f>(TypesTable5[[#This Row],[ملك الشركة - المنفذ]]/TypesTable5[[#This Row],[المستهدف]])</f>
        <v>0.40540540540540543</v>
      </c>
      <c r="F18" s="8">
        <f>TypesTable5[[#This Row],[المستهدف]]/7</f>
        <v>21.142857142857142</v>
      </c>
      <c r="G18" s="8">
        <f>TypesTable5[[#This Row],[المستهدف - الأسبوعي]]/6</f>
        <v>3.5238095238095237</v>
      </c>
    </row>
    <row r="19" spans="1:7" ht="18" hidden="1" customHeight="1" x14ac:dyDescent="0.25">
      <c r="A19" s="6" t="s">
        <v>15</v>
      </c>
      <c r="B19" s="6">
        <v>176</v>
      </c>
      <c r="C19" s="6">
        <v>236</v>
      </c>
      <c r="D19" s="6">
        <f>TypesTable5[[#This Row],[المستهدف]]-TypesTable5[[#This Row],[ملك الشركة - المنفذ]]</f>
        <v>60</v>
      </c>
      <c r="E19" s="7">
        <f>(TypesTable5[[#This Row],[ملك الشركة - المنفذ]]/TypesTable5[[#This Row],[المستهدف]])</f>
        <v>0.74576271186440679</v>
      </c>
      <c r="F19" s="8">
        <f>TypesTable5[[#This Row],[المستهدف]]/7</f>
        <v>33.714285714285715</v>
      </c>
      <c r="G19" s="8">
        <f>TypesTable5[[#This Row],[المستهدف - الأسبوعي]]/6</f>
        <v>5.6190476190476195</v>
      </c>
    </row>
    <row r="20" spans="1:7" ht="18" hidden="1" customHeight="1" x14ac:dyDescent="0.25">
      <c r="A20" s="6" t="s">
        <v>16</v>
      </c>
      <c r="B20" s="6">
        <v>137</v>
      </c>
      <c r="C20" s="6">
        <v>157</v>
      </c>
      <c r="D20" s="6">
        <f>TypesTable5[[#This Row],[المستهدف]]-TypesTable5[[#This Row],[ملك الشركة - المنفذ]]</f>
        <v>20</v>
      </c>
      <c r="E20" s="7">
        <f>(TypesTable5[[#This Row],[ملك الشركة - المنفذ]]/TypesTable5[[#This Row],[المستهدف]])</f>
        <v>0.87261146496815289</v>
      </c>
      <c r="F20" s="8">
        <f>TypesTable5[[#This Row],[المستهدف]]/7</f>
        <v>22.428571428571427</v>
      </c>
      <c r="G20" s="8">
        <f>TypesTable5[[#This Row],[المستهدف - الأسبوعي]]/6</f>
        <v>3.7380952380952377</v>
      </c>
    </row>
    <row r="21" spans="1:7" ht="18" hidden="1" customHeight="1" x14ac:dyDescent="0.25">
      <c r="A21" s="6" t="s">
        <v>17</v>
      </c>
      <c r="B21" s="6">
        <v>104</v>
      </c>
      <c r="C21" s="6">
        <v>274</v>
      </c>
      <c r="D21" s="6">
        <f>TypesTable5[[#This Row],[المستهدف]]-TypesTable5[[#This Row],[ملك الشركة - المنفذ]]</f>
        <v>170</v>
      </c>
      <c r="E21" s="7">
        <f>(TypesTable5[[#This Row],[ملك الشركة - المنفذ]]/TypesTable5[[#This Row],[المستهدف]])</f>
        <v>0.37956204379562042</v>
      </c>
      <c r="F21" s="8">
        <f>TypesTable5[[#This Row],[المستهدف]]/7</f>
        <v>39.142857142857146</v>
      </c>
      <c r="G21" s="8">
        <f>TypesTable5[[#This Row],[المستهدف - الأسبوعي]]/6</f>
        <v>6.5238095238095246</v>
      </c>
    </row>
    <row r="22" spans="1:7" ht="18" hidden="1" customHeight="1" x14ac:dyDescent="0.25">
      <c r="A22" s="6" t="s">
        <v>18</v>
      </c>
      <c r="B22" s="6">
        <v>174</v>
      </c>
      <c r="C22" s="6">
        <v>178</v>
      </c>
      <c r="D22" s="6">
        <f>TypesTable5[[#This Row],[المستهدف]]-TypesTable5[[#This Row],[ملك الشركة - المنفذ]]</f>
        <v>4</v>
      </c>
      <c r="E22" s="7">
        <f>(TypesTable5[[#This Row],[ملك الشركة - المنفذ]]/TypesTable5[[#This Row],[المستهدف]])</f>
        <v>0.97752808988764039</v>
      </c>
      <c r="F22" s="8">
        <f>TypesTable5[[#This Row],[المستهدف]]/7</f>
        <v>25.428571428571427</v>
      </c>
      <c r="G22" s="8">
        <f>TypesTable5[[#This Row],[المستهدف - الأسبوعي]]/6</f>
        <v>4.2380952380952381</v>
      </c>
    </row>
    <row r="23" spans="1:7" ht="18" hidden="1" customHeight="1" x14ac:dyDescent="0.25">
      <c r="A23" s="6" t="s">
        <v>19</v>
      </c>
      <c r="B23" s="6">
        <v>207</v>
      </c>
      <c r="C23" s="6">
        <v>221</v>
      </c>
      <c r="D23" s="6">
        <f>TypesTable5[[#This Row],[المستهدف]]-TypesTable5[[#This Row],[ملك الشركة - المنفذ]]</f>
        <v>14</v>
      </c>
      <c r="E23" s="7">
        <f>(TypesTable5[[#This Row],[ملك الشركة - المنفذ]]/TypesTable5[[#This Row],[المستهدف]])</f>
        <v>0.93665158371040724</v>
      </c>
      <c r="F23" s="8">
        <f>TypesTable5[[#This Row],[المستهدف]]/7</f>
        <v>31.571428571428573</v>
      </c>
      <c r="G23" s="8">
        <f>TypesTable5[[#This Row],[المستهدف - الأسبوعي]]/6</f>
        <v>5.2619047619047619</v>
      </c>
    </row>
    <row r="24" spans="1:7" ht="18" hidden="1" customHeight="1" x14ac:dyDescent="0.25">
      <c r="A24" s="6" t="s">
        <v>20</v>
      </c>
      <c r="B24" s="6">
        <v>171</v>
      </c>
      <c r="C24" s="6">
        <v>172</v>
      </c>
      <c r="D24" s="6">
        <f>TypesTable5[[#This Row],[المستهدف]]-TypesTable5[[#This Row],[ملك الشركة - المنفذ]]</f>
        <v>1</v>
      </c>
      <c r="E24" s="7">
        <f>(TypesTable5[[#This Row],[ملك الشركة - المنفذ]]/TypesTable5[[#This Row],[المستهدف]])</f>
        <v>0.9941860465116279</v>
      </c>
      <c r="F24" s="8">
        <f>TypesTable5[[#This Row],[المستهدف]]/7</f>
        <v>24.571428571428573</v>
      </c>
      <c r="G24" s="8">
        <f>TypesTable5[[#This Row],[المستهدف - الأسبوعي]]/6</f>
        <v>4.0952380952380958</v>
      </c>
    </row>
    <row r="25" spans="1:7" ht="18" hidden="1" customHeight="1" x14ac:dyDescent="0.25">
      <c r="A25" s="6" t="s">
        <v>21</v>
      </c>
      <c r="B25" s="6">
        <v>163</v>
      </c>
      <c r="C25" s="6">
        <v>208</v>
      </c>
      <c r="D25" s="6">
        <f>TypesTable5[[#This Row],[المستهدف]]-TypesTable5[[#This Row],[ملك الشركة - المنفذ]]</f>
        <v>45</v>
      </c>
      <c r="E25" s="7">
        <f>(TypesTable5[[#This Row],[ملك الشركة - المنفذ]]/TypesTable5[[#This Row],[المستهدف]])</f>
        <v>0.78365384615384615</v>
      </c>
      <c r="F25" s="8">
        <f>TypesTable5[[#This Row],[المستهدف]]/7</f>
        <v>29.714285714285715</v>
      </c>
      <c r="G25" s="8">
        <f>TypesTable5[[#This Row],[المستهدف - الأسبوعي]]/6</f>
        <v>4.9523809523809526</v>
      </c>
    </row>
    <row r="26" spans="1:7" ht="18" hidden="1" customHeight="1" x14ac:dyDescent="0.25">
      <c r="A26" s="6" t="s">
        <v>22</v>
      </c>
      <c r="B26" s="6">
        <v>161</v>
      </c>
      <c r="C26" s="6">
        <v>247</v>
      </c>
      <c r="D26" s="6">
        <f>TypesTable5[[#This Row],[المستهدف]]-TypesTable5[[#This Row],[ملك الشركة - المنفذ]]</f>
        <v>86</v>
      </c>
      <c r="E26" s="7">
        <f>(TypesTable5[[#This Row],[ملك الشركة - المنفذ]]/TypesTable5[[#This Row],[المستهدف]])</f>
        <v>0.65182186234817818</v>
      </c>
      <c r="F26" s="8">
        <f>TypesTable5[[#This Row],[المستهدف]]/7</f>
        <v>35.285714285714285</v>
      </c>
      <c r="G26" s="8">
        <f>TypesTable5[[#This Row],[المستهدف - الأسبوعي]]/6</f>
        <v>5.8809523809523805</v>
      </c>
    </row>
    <row r="27" spans="1:7" ht="18" hidden="1" customHeight="1" x14ac:dyDescent="0.25">
      <c r="A27" s="6" t="s">
        <v>23</v>
      </c>
      <c r="B27" s="6">
        <v>82</v>
      </c>
      <c r="C27" s="6">
        <v>72</v>
      </c>
      <c r="D27" s="6">
        <f>TypesTable5[[#This Row],[المستهدف]]-TypesTable5[[#This Row],[ملك الشركة - المنفذ]]</f>
        <v>-10</v>
      </c>
      <c r="E27" s="7">
        <f>(TypesTable5[[#This Row],[ملك الشركة - المنفذ]]/TypesTable5[[#This Row],[المستهدف]])</f>
        <v>1.1388888888888888</v>
      </c>
      <c r="F27" s="8">
        <f>TypesTable5[[#This Row],[المستهدف]]/7</f>
        <v>10.285714285714286</v>
      </c>
      <c r="G27" s="8">
        <f>TypesTable5[[#This Row],[المستهدف - الأسبوعي]]/6</f>
        <v>1.7142857142857144</v>
      </c>
    </row>
    <row r="28" spans="1:7" ht="18" hidden="1" customHeight="1" x14ac:dyDescent="0.25">
      <c r="A28" s="6" t="s">
        <v>24</v>
      </c>
      <c r="B28" s="6">
        <v>129</v>
      </c>
      <c r="C28" s="6">
        <v>231</v>
      </c>
      <c r="D28" s="6">
        <f>TypesTable5[[#This Row],[المستهدف]]-TypesTable5[[#This Row],[ملك الشركة - المنفذ]]</f>
        <v>102</v>
      </c>
      <c r="E28" s="7">
        <f>(TypesTable5[[#This Row],[ملك الشركة - المنفذ]]/TypesTable5[[#This Row],[المستهدف]])</f>
        <v>0.55844155844155841</v>
      </c>
      <c r="F28" s="8">
        <f>TypesTable5[[#This Row],[المستهدف]]/7</f>
        <v>33</v>
      </c>
      <c r="G28" s="8">
        <f>TypesTable5[[#This Row],[المستهدف - الأسبوعي]]/6</f>
        <v>5.5</v>
      </c>
    </row>
    <row r="29" spans="1:7" ht="18" hidden="1" customHeight="1" x14ac:dyDescent="0.25">
      <c r="A29" s="10" t="s">
        <v>57</v>
      </c>
      <c r="B29" s="10">
        <f>SUBTOTAL(109,B15:B28)</f>
        <v>0</v>
      </c>
      <c r="C29" s="10">
        <f t="shared" ref="C29:D29" si="1">SUBTOTAL(109,C15:C28)</f>
        <v>0</v>
      </c>
      <c r="D29" s="10">
        <f t="shared" si="1"/>
        <v>0</v>
      </c>
      <c r="E29" s="11" t="e">
        <f>(TypesTable5[[#This Row],[ملك الشركة - المنفذ]]/TypesTable5[[#This Row],[المستهدف]])</f>
        <v>#DIV/0!</v>
      </c>
      <c r="F29" s="12">
        <f>TypesTable5[[#This Row],[المستهدف]]/7</f>
        <v>0</v>
      </c>
      <c r="G29" s="12">
        <f>TypesTable5[[#This Row],[المستهدف - الأسبوعي]]/6</f>
        <v>0</v>
      </c>
    </row>
    <row r="30" spans="1:7" ht="18" hidden="1" customHeight="1" x14ac:dyDescent="0.25">
      <c r="A30" s="6" t="s">
        <v>25</v>
      </c>
      <c r="B30" s="6">
        <v>345</v>
      </c>
      <c r="C30" s="6">
        <v>421</v>
      </c>
      <c r="D30" s="6">
        <f>TypesTable5[[#This Row],[المستهدف]]-TypesTable5[[#This Row],[ملك الشركة - المنفذ]]</f>
        <v>76</v>
      </c>
      <c r="E30" s="7">
        <f>(TypesTable5[[#This Row],[ملك الشركة - المنفذ]]/TypesTable5[[#This Row],[المستهدف]])</f>
        <v>0.81947743467933487</v>
      </c>
      <c r="F30" s="8">
        <f>TypesTable5[[#This Row],[المستهدف]]/7</f>
        <v>60.142857142857146</v>
      </c>
      <c r="G30" s="8">
        <f>TypesTable5[[#This Row],[المستهدف - الأسبوعي]]/6</f>
        <v>10.023809523809524</v>
      </c>
    </row>
    <row r="31" spans="1:7" ht="18" hidden="1" customHeight="1" x14ac:dyDescent="0.25">
      <c r="A31" s="6" t="s">
        <v>26</v>
      </c>
      <c r="B31" s="6">
        <v>73</v>
      </c>
      <c r="C31" s="6">
        <v>597</v>
      </c>
      <c r="D31" s="6">
        <f>TypesTable5[[#This Row],[المستهدف]]-TypesTable5[[#This Row],[ملك الشركة - المنفذ]]</f>
        <v>524</v>
      </c>
      <c r="E31" s="7">
        <f>(TypesTable5[[#This Row],[ملك الشركة - المنفذ]]/TypesTable5[[#This Row],[المستهدف]])</f>
        <v>0.12227805695142378</v>
      </c>
      <c r="F31" s="8">
        <f>TypesTable5[[#This Row],[المستهدف]]/7</f>
        <v>85.285714285714292</v>
      </c>
      <c r="G31" s="8">
        <f>TypesTable5[[#This Row],[المستهدف - الأسبوعي]]/6</f>
        <v>14.214285714285715</v>
      </c>
    </row>
    <row r="32" spans="1:7" ht="18" hidden="1" customHeight="1" x14ac:dyDescent="0.25">
      <c r="A32" s="6" t="s">
        <v>27</v>
      </c>
      <c r="B32" s="6">
        <v>77</v>
      </c>
      <c r="C32" s="6">
        <v>365</v>
      </c>
      <c r="D32" s="6">
        <f>TypesTable5[[#This Row],[المستهدف]]-TypesTable5[[#This Row],[ملك الشركة - المنفذ]]</f>
        <v>288</v>
      </c>
      <c r="E32" s="7">
        <f>(TypesTable5[[#This Row],[ملك الشركة - المنفذ]]/TypesTable5[[#This Row],[المستهدف]])</f>
        <v>0.21095890410958903</v>
      </c>
      <c r="F32" s="8">
        <f>TypesTable5[[#This Row],[المستهدف]]/7</f>
        <v>52.142857142857146</v>
      </c>
      <c r="G32" s="8">
        <f>TypesTable5[[#This Row],[المستهدف - الأسبوعي]]/6</f>
        <v>8.6904761904761916</v>
      </c>
    </row>
    <row r="33" spans="1:7" ht="18" hidden="1" customHeight="1" x14ac:dyDescent="0.25">
      <c r="A33" s="6" t="s">
        <v>28</v>
      </c>
      <c r="B33" s="6">
        <v>142</v>
      </c>
      <c r="C33" s="6">
        <v>236</v>
      </c>
      <c r="D33" s="6">
        <f>TypesTable5[[#This Row],[المستهدف]]-TypesTable5[[#This Row],[ملك الشركة - المنفذ]]</f>
        <v>94</v>
      </c>
      <c r="E33" s="7">
        <f>(TypesTable5[[#This Row],[ملك الشركة - المنفذ]]/TypesTable5[[#This Row],[المستهدف]])</f>
        <v>0.60169491525423724</v>
      </c>
      <c r="F33" s="8">
        <f>TypesTable5[[#This Row],[المستهدف]]/7</f>
        <v>33.714285714285715</v>
      </c>
      <c r="G33" s="8">
        <f>TypesTable5[[#This Row],[المستهدف - الأسبوعي]]/6</f>
        <v>5.6190476190476195</v>
      </c>
    </row>
    <row r="34" spans="1:7" ht="18" hidden="1" customHeight="1" x14ac:dyDescent="0.25">
      <c r="A34" s="6" t="s">
        <v>29</v>
      </c>
      <c r="B34" s="6">
        <v>95</v>
      </c>
      <c r="C34" s="6">
        <v>305</v>
      </c>
      <c r="D34" s="6">
        <f>TypesTable5[[#This Row],[المستهدف]]-TypesTable5[[#This Row],[ملك الشركة - المنفذ]]</f>
        <v>210</v>
      </c>
      <c r="E34" s="7">
        <f>(TypesTable5[[#This Row],[ملك الشركة - المنفذ]]/TypesTable5[[#This Row],[المستهدف]])</f>
        <v>0.31147540983606559</v>
      </c>
      <c r="F34" s="8">
        <f>TypesTable5[[#This Row],[المستهدف]]/7</f>
        <v>43.571428571428569</v>
      </c>
      <c r="G34" s="8">
        <f>TypesTable5[[#This Row],[المستهدف - الأسبوعي]]/6</f>
        <v>7.2619047619047619</v>
      </c>
    </row>
    <row r="35" spans="1:7" ht="18" hidden="1" customHeight="1" x14ac:dyDescent="0.25">
      <c r="A35" s="6" t="s">
        <v>30</v>
      </c>
      <c r="B35" s="6">
        <v>100</v>
      </c>
      <c r="C35" s="6">
        <v>210</v>
      </c>
      <c r="D35" s="6">
        <f>TypesTable5[[#This Row],[المستهدف]]-TypesTable5[[#This Row],[ملك الشركة - المنفذ]]</f>
        <v>110</v>
      </c>
      <c r="E35" s="7">
        <f>(TypesTable5[[#This Row],[ملك الشركة - المنفذ]]/TypesTable5[[#This Row],[المستهدف]])</f>
        <v>0.47619047619047616</v>
      </c>
      <c r="F35" s="8">
        <f>TypesTable5[[#This Row],[المستهدف]]/7</f>
        <v>30</v>
      </c>
      <c r="G35" s="8">
        <f>TypesTable5[[#This Row],[المستهدف - الأسبوعي]]/6</f>
        <v>5</v>
      </c>
    </row>
    <row r="36" spans="1:7" ht="18" hidden="1" customHeight="1" x14ac:dyDescent="0.25">
      <c r="A36" s="6" t="s">
        <v>31</v>
      </c>
      <c r="B36" s="6">
        <v>251</v>
      </c>
      <c r="C36" s="6">
        <v>383</v>
      </c>
      <c r="D36" s="6">
        <f>TypesTable5[[#This Row],[المستهدف]]-TypesTable5[[#This Row],[ملك الشركة - المنفذ]]</f>
        <v>132</v>
      </c>
      <c r="E36" s="7">
        <f>(TypesTable5[[#This Row],[ملك الشركة - المنفذ]]/TypesTable5[[#This Row],[المستهدف]])</f>
        <v>0.65535248041775462</v>
      </c>
      <c r="F36" s="8">
        <f>TypesTable5[[#This Row],[المستهدف]]/7</f>
        <v>54.714285714285715</v>
      </c>
      <c r="G36" s="8">
        <f>TypesTable5[[#This Row],[المستهدف - الأسبوعي]]/6</f>
        <v>9.1190476190476186</v>
      </c>
    </row>
    <row r="37" spans="1:7" ht="18" hidden="1" customHeight="1" x14ac:dyDescent="0.25">
      <c r="A37" s="6" t="s">
        <v>32</v>
      </c>
      <c r="B37" s="6">
        <v>71</v>
      </c>
      <c r="C37" s="6">
        <v>87</v>
      </c>
      <c r="D37" s="6">
        <f>TypesTable5[[#This Row],[المستهدف]]-TypesTable5[[#This Row],[ملك الشركة - المنفذ]]</f>
        <v>16</v>
      </c>
      <c r="E37" s="7">
        <f>(TypesTable5[[#This Row],[ملك الشركة - المنفذ]]/TypesTable5[[#This Row],[المستهدف]])</f>
        <v>0.81609195402298851</v>
      </c>
      <c r="F37" s="8">
        <f>TypesTable5[[#This Row],[المستهدف]]/7</f>
        <v>12.428571428571429</v>
      </c>
      <c r="G37" s="8">
        <f>TypesTable5[[#This Row],[المستهدف - الأسبوعي]]/6</f>
        <v>2.0714285714285716</v>
      </c>
    </row>
    <row r="38" spans="1:7" ht="18" hidden="1" customHeight="1" x14ac:dyDescent="0.25">
      <c r="A38" s="6" t="s">
        <v>33</v>
      </c>
      <c r="B38" s="6">
        <v>53</v>
      </c>
      <c r="C38" s="6">
        <v>434</v>
      </c>
      <c r="D38" s="6">
        <f>TypesTable5[[#This Row],[المستهدف]]-TypesTable5[[#This Row],[ملك الشركة - المنفذ]]</f>
        <v>381</v>
      </c>
      <c r="E38" s="7">
        <f>(TypesTable5[[#This Row],[ملك الشركة - المنفذ]]/TypesTable5[[#This Row],[المستهدف]])</f>
        <v>0.12211981566820276</v>
      </c>
      <c r="F38" s="8">
        <f>TypesTable5[[#This Row],[المستهدف]]/7</f>
        <v>62</v>
      </c>
      <c r="G38" s="8">
        <f>TypesTable5[[#This Row],[المستهدف - الأسبوعي]]/6</f>
        <v>10.333333333333334</v>
      </c>
    </row>
    <row r="39" spans="1:7" ht="18" hidden="1" customHeight="1" x14ac:dyDescent="0.25">
      <c r="A39" s="6" t="s">
        <v>34</v>
      </c>
      <c r="B39" s="6">
        <v>67</v>
      </c>
      <c r="C39" s="6">
        <v>203</v>
      </c>
      <c r="D39" s="6">
        <f>TypesTable5[[#This Row],[المستهدف]]-TypesTable5[[#This Row],[ملك الشركة - المنفذ]]</f>
        <v>136</v>
      </c>
      <c r="E39" s="7">
        <f>(TypesTable5[[#This Row],[ملك الشركة - المنفذ]]/TypesTable5[[#This Row],[المستهدف]])</f>
        <v>0.33004926108374383</v>
      </c>
      <c r="F39" s="8">
        <f>TypesTable5[[#This Row],[المستهدف]]/7</f>
        <v>29</v>
      </c>
      <c r="G39" s="8">
        <f>TypesTable5[[#This Row],[المستهدف - الأسبوعي]]/6</f>
        <v>4.833333333333333</v>
      </c>
    </row>
    <row r="40" spans="1:7" ht="18" hidden="1" customHeight="1" x14ac:dyDescent="0.25">
      <c r="A40" s="6" t="s">
        <v>35</v>
      </c>
      <c r="B40" s="6">
        <v>24</v>
      </c>
      <c r="C40" s="6">
        <v>119</v>
      </c>
      <c r="D40" s="6">
        <f>TypesTable5[[#This Row],[المستهدف]]-TypesTable5[[#This Row],[ملك الشركة - المنفذ]]</f>
        <v>95</v>
      </c>
      <c r="E40" s="7">
        <f>(TypesTable5[[#This Row],[ملك الشركة - المنفذ]]/TypesTable5[[#This Row],[المستهدف]])</f>
        <v>0.20168067226890757</v>
      </c>
      <c r="F40" s="8">
        <f>TypesTable5[[#This Row],[المستهدف]]/7</f>
        <v>17</v>
      </c>
      <c r="G40" s="8">
        <f>TypesTable5[[#This Row],[المستهدف - الأسبوعي]]/6</f>
        <v>2.8333333333333335</v>
      </c>
    </row>
    <row r="41" spans="1:7" ht="18" hidden="1" customHeight="1" x14ac:dyDescent="0.25">
      <c r="A41" s="6" t="s">
        <v>36</v>
      </c>
      <c r="B41" s="6">
        <v>133</v>
      </c>
      <c r="C41" s="6">
        <v>236</v>
      </c>
      <c r="D41" s="6">
        <f>TypesTable5[[#This Row],[المستهدف]]-TypesTable5[[#This Row],[ملك الشركة - المنفذ]]</f>
        <v>103</v>
      </c>
      <c r="E41" s="7">
        <f>(TypesTable5[[#This Row],[ملك الشركة - المنفذ]]/TypesTable5[[#This Row],[المستهدف]])</f>
        <v>0.56355932203389836</v>
      </c>
      <c r="F41" s="8">
        <f>TypesTable5[[#This Row],[المستهدف]]/7</f>
        <v>33.714285714285715</v>
      </c>
      <c r="G41" s="8">
        <f>TypesTable5[[#This Row],[المستهدف - الأسبوعي]]/6</f>
        <v>5.6190476190476195</v>
      </c>
    </row>
    <row r="42" spans="1:7" ht="18" hidden="1" customHeight="1" x14ac:dyDescent="0.25">
      <c r="A42" s="6" t="s">
        <v>37</v>
      </c>
      <c r="B42" s="6">
        <v>83</v>
      </c>
      <c r="C42" s="6">
        <v>179</v>
      </c>
      <c r="D42" s="6">
        <f>TypesTable5[[#This Row],[المستهدف]]-TypesTable5[[#This Row],[ملك الشركة - المنفذ]]</f>
        <v>96</v>
      </c>
      <c r="E42" s="7">
        <f>(TypesTable5[[#This Row],[ملك الشركة - المنفذ]]/TypesTable5[[#This Row],[المستهدف]])</f>
        <v>0.46368715083798884</v>
      </c>
      <c r="F42" s="8">
        <f>TypesTable5[[#This Row],[المستهدف]]/7</f>
        <v>25.571428571428573</v>
      </c>
      <c r="G42" s="8">
        <f>TypesTable5[[#This Row],[المستهدف - الأسبوعي]]/6</f>
        <v>4.2619047619047619</v>
      </c>
    </row>
    <row r="43" spans="1:7" ht="30" customHeight="1" x14ac:dyDescent="0.25">
      <c r="A43" s="10" t="s">
        <v>59</v>
      </c>
      <c r="B43" s="10" t="s">
        <v>66</v>
      </c>
      <c r="C43" s="10" t="s">
        <v>62</v>
      </c>
      <c r="D43" s="10" t="s">
        <v>63</v>
      </c>
      <c r="E43" s="10" t="s">
        <v>64</v>
      </c>
      <c r="F43" s="10" t="s">
        <v>65</v>
      </c>
      <c r="G43" s="10" t="s">
        <v>60</v>
      </c>
    </row>
    <row r="44" spans="1:7" ht="30" customHeight="1" x14ac:dyDescent="0.25">
      <c r="A44" s="6" t="s">
        <v>38</v>
      </c>
      <c r="B44" s="6">
        <v>200</v>
      </c>
      <c r="C44" s="6">
        <v>313</v>
      </c>
      <c r="D44" s="6">
        <f>TypesTable5[[#This Row],[المستهدف]]-TypesTable5[[#This Row],[ملك الشركة - المنفذ]]</f>
        <v>113</v>
      </c>
      <c r="E44" s="7">
        <f>(TypesTable5[[#This Row],[ملك الشركة - المنفذ]]/TypesTable5[[#This Row],[المستهدف]])</f>
        <v>0.63897763578274758</v>
      </c>
      <c r="F44" s="8">
        <f>TypesTable5[[#This Row],[المستهدف]]/7</f>
        <v>44.714285714285715</v>
      </c>
      <c r="G44" s="8">
        <f>TypesTable5[[#This Row],[المستهدف - الأسبوعي]]/6</f>
        <v>7.4523809523809526</v>
      </c>
    </row>
    <row r="45" spans="1:7" ht="30" customHeight="1" x14ac:dyDescent="0.25">
      <c r="A45" s="6" t="s">
        <v>39</v>
      </c>
      <c r="B45" s="6">
        <v>118</v>
      </c>
      <c r="C45" s="6">
        <v>268</v>
      </c>
      <c r="D45" s="6">
        <f>TypesTable5[[#This Row],[المستهدف]]-TypesTable5[[#This Row],[ملك الشركة - المنفذ]]</f>
        <v>150</v>
      </c>
      <c r="E45" s="7">
        <f>(TypesTable5[[#This Row],[ملك الشركة - المنفذ]]/TypesTable5[[#This Row],[المستهدف]])</f>
        <v>0.44029850746268656</v>
      </c>
      <c r="F45" s="8">
        <f>TypesTable5[[#This Row],[المستهدف]]/7</f>
        <v>38.285714285714285</v>
      </c>
      <c r="G45" s="8">
        <f>TypesTable5[[#This Row],[المستهدف - الأسبوعي]]/6</f>
        <v>6.3809523809523805</v>
      </c>
    </row>
    <row r="46" spans="1:7" ht="30" customHeight="1" x14ac:dyDescent="0.25">
      <c r="A46" s="6" t="s">
        <v>40</v>
      </c>
      <c r="B46" s="6">
        <v>155</v>
      </c>
      <c r="C46" s="6">
        <v>271</v>
      </c>
      <c r="D46" s="6">
        <f>TypesTable5[[#This Row],[المستهدف]]-TypesTable5[[#This Row],[ملك الشركة - المنفذ]]</f>
        <v>116</v>
      </c>
      <c r="E46" s="7">
        <f>(TypesTable5[[#This Row],[ملك الشركة - المنفذ]]/TypesTable5[[#This Row],[المستهدف]])</f>
        <v>0.5719557195571956</v>
      </c>
      <c r="F46" s="8">
        <f>TypesTable5[[#This Row],[المستهدف]]/7</f>
        <v>38.714285714285715</v>
      </c>
      <c r="G46" s="8">
        <f>TypesTable5[[#This Row],[المستهدف - الأسبوعي]]/6</f>
        <v>6.4523809523809526</v>
      </c>
    </row>
    <row r="47" spans="1:7" ht="30" customHeight="1" x14ac:dyDescent="0.25">
      <c r="A47" s="6" t="s">
        <v>41</v>
      </c>
      <c r="B47" s="6">
        <v>150</v>
      </c>
      <c r="C47" s="6">
        <v>245</v>
      </c>
      <c r="D47" s="6">
        <f>TypesTable5[[#This Row],[المستهدف]]-TypesTable5[[#This Row],[ملك الشركة - المنفذ]]</f>
        <v>95</v>
      </c>
      <c r="E47" s="7">
        <f>(TypesTable5[[#This Row],[ملك الشركة - المنفذ]]/TypesTable5[[#This Row],[المستهدف]])</f>
        <v>0.61224489795918369</v>
      </c>
      <c r="F47" s="8">
        <f>TypesTable5[[#This Row],[المستهدف]]/7</f>
        <v>35</v>
      </c>
      <c r="G47" s="8">
        <f>TypesTable5[[#This Row],[المستهدف - الأسبوعي]]/6</f>
        <v>5.833333333333333</v>
      </c>
    </row>
    <row r="48" spans="1:7" ht="30" customHeight="1" x14ac:dyDescent="0.25">
      <c r="A48" s="6" t="s">
        <v>42</v>
      </c>
      <c r="B48" s="6">
        <v>115</v>
      </c>
      <c r="C48" s="6">
        <v>305</v>
      </c>
      <c r="D48" s="6">
        <f>TypesTable5[[#This Row],[المستهدف]]-TypesTable5[[#This Row],[ملك الشركة - المنفذ]]</f>
        <v>190</v>
      </c>
      <c r="E48" s="7">
        <f>(TypesTable5[[#This Row],[ملك الشركة - المنفذ]]/TypesTable5[[#This Row],[المستهدف]])</f>
        <v>0.37704918032786883</v>
      </c>
      <c r="F48" s="8">
        <f>TypesTable5[[#This Row],[المستهدف]]/7</f>
        <v>43.571428571428569</v>
      </c>
      <c r="G48" s="8">
        <f>TypesTable5[[#This Row],[المستهدف - الأسبوعي]]/6</f>
        <v>7.2619047619047619</v>
      </c>
    </row>
    <row r="49" spans="1:7" ht="30" customHeight="1" x14ac:dyDescent="0.25">
      <c r="A49" s="6" t="s">
        <v>43</v>
      </c>
      <c r="B49" s="6">
        <v>50</v>
      </c>
      <c r="C49" s="6">
        <v>302</v>
      </c>
      <c r="D49" s="6">
        <f>TypesTable5[[#This Row],[المستهدف]]-TypesTable5[[#This Row],[ملك الشركة - المنفذ]]</f>
        <v>252</v>
      </c>
      <c r="E49" s="7">
        <f>(TypesTable5[[#This Row],[ملك الشركة - المنفذ]]/TypesTable5[[#This Row],[المستهدف]])</f>
        <v>0.16556291390728478</v>
      </c>
      <c r="F49" s="8">
        <f>TypesTable5[[#This Row],[المستهدف]]/7</f>
        <v>43.142857142857146</v>
      </c>
      <c r="G49" s="8">
        <f>TypesTable5[[#This Row],[المستهدف - الأسبوعي]]/6</f>
        <v>7.1904761904761907</v>
      </c>
    </row>
    <row r="50" spans="1:7" ht="30" customHeight="1" x14ac:dyDescent="0.25">
      <c r="A50" s="6" t="s">
        <v>44</v>
      </c>
      <c r="B50" s="6">
        <v>142</v>
      </c>
      <c r="C50" s="6">
        <v>324</v>
      </c>
      <c r="D50" s="6">
        <f>TypesTable5[[#This Row],[المستهدف]]-TypesTable5[[#This Row],[ملك الشركة - المنفذ]]</f>
        <v>182</v>
      </c>
      <c r="E50" s="7">
        <f>(TypesTable5[[#This Row],[ملك الشركة - المنفذ]]/TypesTable5[[#This Row],[المستهدف]])</f>
        <v>0.43827160493827161</v>
      </c>
      <c r="F50" s="8">
        <f>TypesTable5[[#This Row],[المستهدف]]/7</f>
        <v>46.285714285714285</v>
      </c>
      <c r="G50" s="8">
        <f>TypesTable5[[#This Row],[المستهدف - الأسبوعي]]/6</f>
        <v>7.7142857142857144</v>
      </c>
    </row>
    <row r="51" spans="1:7" ht="30" customHeight="1" x14ac:dyDescent="0.25">
      <c r="A51" s="6" t="s">
        <v>45</v>
      </c>
      <c r="B51" s="6">
        <v>137</v>
      </c>
      <c r="C51" s="6">
        <v>154</v>
      </c>
      <c r="D51" s="6">
        <f>TypesTable5[[#This Row],[المستهدف]]-TypesTable5[[#This Row],[ملك الشركة - المنفذ]]</f>
        <v>17</v>
      </c>
      <c r="E51" s="7">
        <f>(TypesTable5[[#This Row],[ملك الشركة - المنفذ]]/TypesTable5[[#This Row],[المستهدف]])</f>
        <v>0.88961038961038963</v>
      </c>
      <c r="F51" s="8">
        <f>TypesTable5[[#This Row],[المستهدف]]/7</f>
        <v>22</v>
      </c>
      <c r="G51" s="8">
        <f>TypesTable5[[#This Row],[المستهدف - الأسبوعي]]/6</f>
        <v>3.6666666666666665</v>
      </c>
    </row>
    <row r="52" spans="1:7" ht="30" customHeight="1" x14ac:dyDescent="0.25">
      <c r="A52" s="6" t="s">
        <v>46</v>
      </c>
      <c r="B52" s="6">
        <v>135</v>
      </c>
      <c r="C52" s="6">
        <v>298</v>
      </c>
      <c r="D52" s="6">
        <f>TypesTable5[[#This Row],[المستهدف]]-TypesTable5[[#This Row],[ملك الشركة - المنفذ]]</f>
        <v>163</v>
      </c>
      <c r="E52" s="7">
        <f>(TypesTable5[[#This Row],[ملك الشركة - المنفذ]]/TypesTable5[[#This Row],[المستهدف]])</f>
        <v>0.45302013422818793</v>
      </c>
      <c r="F52" s="8">
        <f>TypesTable5[[#This Row],[المستهدف]]/7</f>
        <v>42.571428571428569</v>
      </c>
      <c r="G52" s="8">
        <f>TypesTable5[[#This Row],[المستهدف - الأسبوعي]]/6</f>
        <v>7.0952380952380949</v>
      </c>
    </row>
    <row r="53" spans="1:7" ht="30" customHeight="1" x14ac:dyDescent="0.25">
      <c r="A53" s="6" t="s">
        <v>47</v>
      </c>
      <c r="B53" s="6">
        <v>108</v>
      </c>
      <c r="C53" s="6">
        <v>180</v>
      </c>
      <c r="D53" s="6">
        <f>TypesTable5[[#This Row],[المستهدف]]-TypesTable5[[#This Row],[ملك الشركة - المنفذ]]</f>
        <v>72</v>
      </c>
      <c r="E53" s="7">
        <f>(TypesTable5[[#This Row],[ملك الشركة - المنفذ]]/TypesTable5[[#This Row],[المستهدف]])</f>
        <v>0.6</v>
      </c>
      <c r="F53" s="8">
        <f>TypesTable5[[#This Row],[المستهدف]]/7</f>
        <v>25.714285714285715</v>
      </c>
      <c r="G53" s="8">
        <f>TypesTable5[[#This Row],[المستهدف - الأسبوعي]]/6</f>
        <v>4.2857142857142856</v>
      </c>
    </row>
    <row r="54" spans="1:7" ht="30" customHeight="1" x14ac:dyDescent="0.25">
      <c r="A54" s="6" t="s">
        <v>48</v>
      </c>
      <c r="B54" s="6">
        <v>146</v>
      </c>
      <c r="C54" s="6">
        <v>189</v>
      </c>
      <c r="D54" s="6">
        <f>TypesTable5[[#This Row],[المستهدف]]-TypesTable5[[#This Row],[ملك الشركة - المنفذ]]</f>
        <v>43</v>
      </c>
      <c r="E54" s="7">
        <f>(TypesTable5[[#This Row],[ملك الشركة - المنفذ]]/TypesTable5[[#This Row],[المستهدف]])</f>
        <v>0.77248677248677244</v>
      </c>
      <c r="F54" s="8">
        <f>TypesTable5[[#This Row],[المستهدف]]/7</f>
        <v>27</v>
      </c>
      <c r="G54" s="8">
        <f>TypesTable5[[#This Row],[المستهدف - الأسبوعي]]/6</f>
        <v>4.5</v>
      </c>
    </row>
    <row r="55" spans="1:7" ht="30" customHeight="1" x14ac:dyDescent="0.25">
      <c r="A55" s="6" t="s">
        <v>49</v>
      </c>
      <c r="B55" s="6">
        <v>163</v>
      </c>
      <c r="C55" s="6">
        <v>405</v>
      </c>
      <c r="D55" s="6">
        <f>TypesTable5[[#This Row],[المستهدف]]-TypesTable5[[#This Row],[ملك الشركة - المنفذ]]</f>
        <v>242</v>
      </c>
      <c r="E55" s="7">
        <f>(TypesTable5[[#This Row],[ملك الشركة - المنفذ]]/TypesTable5[[#This Row],[المستهدف]])</f>
        <v>0.40246913580246912</v>
      </c>
      <c r="F55" s="8">
        <f>TypesTable5[[#This Row],[المستهدف]]/7</f>
        <v>57.857142857142854</v>
      </c>
      <c r="G55" s="8">
        <f>TypesTable5[[#This Row],[المستهدف - الأسبوعي]]/6</f>
        <v>9.6428571428571423</v>
      </c>
    </row>
    <row r="56" spans="1:7" ht="30" customHeight="1" x14ac:dyDescent="0.25">
      <c r="A56" s="6" t="s">
        <v>50</v>
      </c>
      <c r="B56" s="6">
        <v>75</v>
      </c>
      <c r="C56" s="6">
        <v>154</v>
      </c>
      <c r="D56" s="6">
        <f>TypesTable5[[#This Row],[المستهدف]]-TypesTable5[[#This Row],[ملك الشركة - المنفذ]]</f>
        <v>79</v>
      </c>
      <c r="E56" s="7">
        <f>(TypesTable5[[#This Row],[ملك الشركة - المنفذ]]/TypesTable5[[#This Row],[المستهدف]])</f>
        <v>0.48701298701298701</v>
      </c>
      <c r="F56" s="8">
        <f>TypesTable5[[#This Row],[المستهدف]]/7</f>
        <v>22</v>
      </c>
      <c r="G56" s="8">
        <f>TypesTable5[[#This Row],[المستهدف - الأسبوعي]]/6</f>
        <v>3.6666666666666665</v>
      </c>
    </row>
    <row r="57" spans="1:7" ht="30" customHeight="1" x14ac:dyDescent="0.25">
      <c r="A57" s="6" t="s">
        <v>51</v>
      </c>
      <c r="B57" s="6">
        <v>109</v>
      </c>
      <c r="C57" s="6">
        <v>274</v>
      </c>
      <c r="D57" s="6">
        <f>TypesTable5[[#This Row],[المستهدف]]-TypesTable5[[#This Row],[ملك الشركة - المنفذ]]</f>
        <v>165</v>
      </c>
      <c r="E57" s="7">
        <f>(TypesTable5[[#This Row],[ملك الشركة - المنفذ]]/TypesTable5[[#This Row],[المستهدف]])</f>
        <v>0.3978102189781022</v>
      </c>
      <c r="F57" s="8">
        <f>TypesTable5[[#This Row],[المستهدف]]/7</f>
        <v>39.142857142857146</v>
      </c>
      <c r="G57" s="8">
        <f>TypesTable5[[#This Row],[المستهدف - الأسبوعي]]/6</f>
        <v>6.5238095238095246</v>
      </c>
    </row>
    <row r="58" spans="1:7" ht="30" customHeight="1" x14ac:dyDescent="0.25">
      <c r="A58" s="6" t="s">
        <v>52</v>
      </c>
      <c r="B58" s="6">
        <v>111</v>
      </c>
      <c r="C58" s="6">
        <v>375</v>
      </c>
      <c r="D58" s="6">
        <f>TypesTable5[[#This Row],[المستهدف]]-TypesTable5[[#This Row],[ملك الشركة - المنفذ]]</f>
        <v>264</v>
      </c>
      <c r="E58" s="7">
        <f>(TypesTable5[[#This Row],[ملك الشركة - المنفذ]]/TypesTable5[[#This Row],[المستهدف]])</f>
        <v>0.29599999999999999</v>
      </c>
      <c r="F58" s="8">
        <f>TypesTable5[[#This Row],[المستهدف]]/7</f>
        <v>53.571428571428569</v>
      </c>
      <c r="G58" s="8">
        <f>TypesTable5[[#This Row],[المستهدف - الأسبوعي]]/6</f>
        <v>8.9285714285714288</v>
      </c>
    </row>
    <row r="59" spans="1:7" ht="30" customHeight="1" x14ac:dyDescent="0.25">
      <c r="A59" s="6" t="s">
        <v>53</v>
      </c>
      <c r="B59" s="6">
        <v>140</v>
      </c>
      <c r="C59" s="6">
        <v>226</v>
      </c>
      <c r="D59" s="6">
        <f>TypesTable5[[#This Row],[المستهدف]]-TypesTable5[[#This Row],[ملك الشركة - المنفذ]]</f>
        <v>86</v>
      </c>
      <c r="E59" s="7">
        <f>(TypesTable5[[#This Row],[ملك الشركة - المنفذ]]/TypesTable5[[#This Row],[المستهدف]])</f>
        <v>0.61946902654867253</v>
      </c>
      <c r="F59" s="8">
        <f>TypesTable5[[#This Row],[المستهدف]]/7</f>
        <v>32.285714285714285</v>
      </c>
      <c r="G59" s="8">
        <f>TypesTable5[[#This Row],[المستهدف - الأسبوعي]]/6</f>
        <v>5.3809523809523805</v>
      </c>
    </row>
    <row r="60" spans="1:7" ht="30" customHeight="1" x14ac:dyDescent="0.25">
      <c r="A60" s="6" t="s">
        <v>54</v>
      </c>
      <c r="B60" s="6">
        <v>100</v>
      </c>
      <c r="C60" s="6">
        <v>125</v>
      </c>
      <c r="D60" s="6">
        <f>TypesTable5[[#This Row],[المستهدف]]-TypesTable5[[#This Row],[ملك الشركة - المنفذ]]</f>
        <v>25</v>
      </c>
      <c r="E60" s="7">
        <f>(TypesTable5[[#This Row],[ملك الشركة - المنفذ]]/TypesTable5[[#This Row],[المستهدف]])</f>
        <v>0.8</v>
      </c>
      <c r="F60" s="8">
        <f>TypesTable5[[#This Row],[المستهدف]]/7</f>
        <v>17.857142857142858</v>
      </c>
      <c r="G60" s="8">
        <f>TypesTable5[[#This Row],[المستهدف - الأسبوعي]]/6</f>
        <v>2.9761904761904763</v>
      </c>
    </row>
    <row r="61" spans="1:7" ht="30" customHeight="1" x14ac:dyDescent="0.25">
      <c r="A61" s="10" t="s">
        <v>55</v>
      </c>
      <c r="B61" s="10">
        <f>SUBTOTAL(109,B44:B60)</f>
        <v>2154</v>
      </c>
      <c r="C61" s="10">
        <f t="shared" ref="C61:D61" si="2">SUBTOTAL(109,C44:C60)</f>
        <v>4408</v>
      </c>
      <c r="D61" s="10">
        <f t="shared" si="2"/>
        <v>2254</v>
      </c>
      <c r="E61" s="11">
        <f>(TypesTable5[[#This Row],[ملك الشركة - المنفذ]]/TypesTable5[[#This Row],[المستهدف]])</f>
        <v>0.4886569872958258</v>
      </c>
      <c r="F61" s="12">
        <f>TypesTable5[[#This Row],[المستهدف]]/7</f>
        <v>629.71428571428567</v>
      </c>
      <c r="G61" s="12">
        <f>TypesTable5[[#This Row],[المستهدف - الأسبوعي]]/6</f>
        <v>104.95238095238095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دمياط</vt:lpstr>
      <vt:lpstr>شمال الدقهلية</vt:lpstr>
      <vt:lpstr>جنوب الدقهلية</vt:lpstr>
      <vt:lpstr>كفر الشيخ</vt:lpstr>
      <vt:lpstr>دمياط!Print_Area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amir el seyoufi</cp:lastModifiedBy>
  <cp:lastPrinted>2026-04-29T13:25:14Z</cp:lastPrinted>
  <dcterms:created xsi:type="dcterms:W3CDTF">2026-04-29T12:08:31Z</dcterms:created>
  <dcterms:modified xsi:type="dcterms:W3CDTF">2026-04-29T13:48:04Z</dcterms:modified>
</cp:coreProperties>
</file>