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330" windowWidth="24240" windowHeight="13290" activeTab="2"/>
  </bookViews>
  <sheets>
    <sheet name="Sheet1" sheetId="5" r:id="rId1"/>
    <sheet name="دمياط" sheetId="1" r:id="rId2"/>
    <sheet name="ش الدقهلية" sheetId="2" r:id="rId3"/>
    <sheet name="ج الدقهلية" sheetId="3" r:id="rId4"/>
    <sheet name="كفر الشيخ" sheetId="4" r:id="rId5"/>
  </sheets>
  <externalReferences>
    <externalReference r:id="rId6"/>
  </externalReferences>
  <definedNames>
    <definedName name="_xlnm.Print_Area" localSheetId="1">دمياط!$A$1:$G$14</definedName>
    <definedName name="_xlnm.Print_Area" localSheetId="2">'ش الدقهلية'!$A$1:$G$17</definedName>
    <definedName name="_xlnm.Print_Area" localSheetId="4">'كفر الشيخ'!$A$1:$G$20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7" i="5" l="1"/>
  <c r="C18" i="4" l="1"/>
  <c r="C13" i="4"/>
  <c r="C10" i="4"/>
  <c r="C9" i="4"/>
  <c r="C6" i="4"/>
  <c r="C5" i="4"/>
  <c r="C5" i="3"/>
  <c r="E5" i="3" s="1"/>
  <c r="C3" i="3"/>
  <c r="C5" i="2"/>
  <c r="B19" i="4"/>
  <c r="D19" i="4" s="1"/>
  <c r="F19" i="4" s="1"/>
  <c r="G19" i="4" s="1"/>
  <c r="B18" i="4"/>
  <c r="E18" i="4" s="1"/>
  <c r="B17" i="4"/>
  <c r="E17" i="4" s="1"/>
  <c r="B16" i="4"/>
  <c r="E16" i="4" s="1"/>
  <c r="B15" i="4"/>
  <c r="E15" i="4" s="1"/>
  <c r="B14" i="4"/>
  <c r="E14" i="4" s="1"/>
  <c r="B13" i="4"/>
  <c r="B12" i="4"/>
  <c r="B11" i="4"/>
  <c r="E11" i="4" s="1"/>
  <c r="B10" i="4"/>
  <c r="D10" i="4" s="1"/>
  <c r="F10" i="4" s="1"/>
  <c r="G10" i="4" s="1"/>
  <c r="B9" i="4"/>
  <c r="D9" i="4" s="1"/>
  <c r="F9" i="4" s="1"/>
  <c r="G9" i="4" s="1"/>
  <c r="B8" i="4"/>
  <c r="E8" i="4" s="1"/>
  <c r="B7" i="4"/>
  <c r="E7" i="4" s="1"/>
  <c r="B6" i="4"/>
  <c r="D6" i="4" s="1"/>
  <c r="F6" i="4" s="1"/>
  <c r="G6" i="4" s="1"/>
  <c r="B5" i="4"/>
  <c r="D5" i="4" s="1"/>
  <c r="F5" i="4" s="1"/>
  <c r="G5" i="4" s="1"/>
  <c r="B4" i="4"/>
  <c r="E4" i="4" s="1"/>
  <c r="B3" i="4"/>
  <c r="D3" i="4" s="1"/>
  <c r="F3" i="4" s="1"/>
  <c r="G3" i="4" s="1"/>
  <c r="E19" i="4"/>
  <c r="D17" i="4"/>
  <c r="F17" i="4" s="1"/>
  <c r="G17" i="4" s="1"/>
  <c r="E12" i="4"/>
  <c r="D12" i="4"/>
  <c r="F12" i="4" s="1"/>
  <c r="G12" i="4" s="1"/>
  <c r="D11" i="4"/>
  <c r="F11" i="4" s="1"/>
  <c r="G11" i="4" s="1"/>
  <c r="E3" i="4"/>
  <c r="B15" i="3"/>
  <c r="B14" i="3"/>
  <c r="D14" i="3" s="1"/>
  <c r="F14" i="3" s="1"/>
  <c r="G14" i="3" s="1"/>
  <c r="B13" i="3"/>
  <c r="E13" i="3" s="1"/>
  <c r="B12" i="3"/>
  <c r="E12" i="3" s="1"/>
  <c r="B11" i="3"/>
  <c r="E11" i="3" s="1"/>
  <c r="B10" i="3"/>
  <c r="E10" i="3" s="1"/>
  <c r="B9" i="3"/>
  <c r="D9" i="3" s="1"/>
  <c r="F9" i="3" s="1"/>
  <c r="G9" i="3" s="1"/>
  <c r="B8" i="3"/>
  <c r="E8" i="3" s="1"/>
  <c r="B7" i="3"/>
  <c r="D7" i="3" s="1"/>
  <c r="F7" i="3" s="1"/>
  <c r="G7" i="3" s="1"/>
  <c r="B6" i="3"/>
  <c r="B5" i="3"/>
  <c r="D5" i="3" s="1"/>
  <c r="F5" i="3" s="1"/>
  <c r="G5" i="3" s="1"/>
  <c r="B4" i="3"/>
  <c r="E4" i="3" s="1"/>
  <c r="B3" i="3"/>
  <c r="E15" i="3"/>
  <c r="D15" i="3"/>
  <c r="F15" i="3" s="1"/>
  <c r="G15" i="3" s="1"/>
  <c r="D13" i="3"/>
  <c r="F13" i="3" s="1"/>
  <c r="G13" i="3" s="1"/>
  <c r="D11" i="3"/>
  <c r="F11" i="3" s="1"/>
  <c r="G11" i="3" s="1"/>
  <c r="D10" i="3"/>
  <c r="F10" i="3" s="1"/>
  <c r="G10" i="3" s="1"/>
  <c r="E9" i="3"/>
  <c r="E7" i="3"/>
  <c r="E6" i="3"/>
  <c r="D6" i="3"/>
  <c r="F6" i="3" s="1"/>
  <c r="G6" i="3" s="1"/>
  <c r="E3" i="3"/>
  <c r="D3" i="3"/>
  <c r="F3" i="3" s="1"/>
  <c r="G3" i="3" s="1"/>
  <c r="B16" i="2"/>
  <c r="D16" i="2" s="1"/>
  <c r="F16" i="2" s="1"/>
  <c r="G16" i="2" s="1"/>
  <c r="B15" i="2"/>
  <c r="B14" i="2"/>
  <c r="E14" i="2" s="1"/>
  <c r="B13" i="2"/>
  <c r="E13" i="2" s="1"/>
  <c r="B12" i="2"/>
  <c r="E12" i="2" s="1"/>
  <c r="B11" i="2"/>
  <c r="E11" i="2" s="1"/>
  <c r="B10" i="2"/>
  <c r="E10" i="2" s="1"/>
  <c r="B9" i="2"/>
  <c r="E9" i="2" s="1"/>
  <c r="B8" i="2"/>
  <c r="E8" i="2" s="1"/>
  <c r="B7" i="2"/>
  <c r="B4" i="2"/>
  <c r="E4" i="2" s="1"/>
  <c r="B5" i="2"/>
  <c r="B6" i="2"/>
  <c r="E6" i="2" s="1"/>
  <c r="B3" i="2"/>
  <c r="E3" i="2" s="1"/>
  <c r="E7" i="2"/>
  <c r="E15" i="2"/>
  <c r="E16" i="2"/>
  <c r="D12" i="2"/>
  <c r="F12" i="2" s="1"/>
  <c r="G12" i="2" s="1"/>
  <c r="D6" i="2"/>
  <c r="F6" i="2" s="1"/>
  <c r="G6" i="2" s="1"/>
  <c r="D4" i="2"/>
  <c r="F4" i="2" s="1"/>
  <c r="G4" i="2" s="1"/>
  <c r="E9" i="4" l="1"/>
  <c r="E13" i="4"/>
  <c r="E10" i="4"/>
  <c r="D14" i="4"/>
  <c r="F14" i="4" s="1"/>
  <c r="G14" i="4" s="1"/>
  <c r="C16" i="3"/>
  <c r="D18" i="4"/>
  <c r="F18" i="4" s="1"/>
  <c r="G18" i="4" s="1"/>
  <c r="D10" i="2"/>
  <c r="F10" i="2" s="1"/>
  <c r="G10" i="2" s="1"/>
  <c r="E14" i="3"/>
  <c r="E6" i="4"/>
  <c r="D15" i="4"/>
  <c r="F15" i="4" s="1"/>
  <c r="G15" i="4" s="1"/>
  <c r="D7" i="4"/>
  <c r="F7" i="4" s="1"/>
  <c r="G7" i="4" s="1"/>
  <c r="E5" i="4"/>
  <c r="D13" i="4"/>
  <c r="F13" i="4" s="1"/>
  <c r="G13" i="4" s="1"/>
  <c r="D3" i="2"/>
  <c r="F3" i="2" s="1"/>
  <c r="G3" i="2" s="1"/>
  <c r="D12" i="3"/>
  <c r="F12" i="3" s="1"/>
  <c r="G12" i="3" s="1"/>
  <c r="E5" i="2"/>
  <c r="C20" i="4"/>
  <c r="C17" i="2"/>
  <c r="D16" i="4"/>
  <c r="F16" i="4" s="1"/>
  <c r="G16" i="4" s="1"/>
  <c r="D8" i="4"/>
  <c r="F8" i="4" s="1"/>
  <c r="G8" i="4" s="1"/>
  <c r="D4" i="4"/>
  <c r="F4" i="4" s="1"/>
  <c r="G4" i="4" s="1"/>
  <c r="B20" i="4"/>
  <c r="D8" i="3"/>
  <c r="F8" i="3" s="1"/>
  <c r="G8" i="3" s="1"/>
  <c r="D4" i="3"/>
  <c r="F4" i="3" s="1"/>
  <c r="G4" i="3" s="1"/>
  <c r="B16" i="3"/>
  <c r="D16" i="3" s="1"/>
  <c r="F16" i="3" s="1"/>
  <c r="G16" i="3" s="1"/>
  <c r="D14" i="2"/>
  <c r="F14" i="2" s="1"/>
  <c r="G14" i="2" s="1"/>
  <c r="D13" i="2"/>
  <c r="F13" i="2" s="1"/>
  <c r="G13" i="2" s="1"/>
  <c r="D9" i="2"/>
  <c r="F9" i="2" s="1"/>
  <c r="G9" i="2" s="1"/>
  <c r="D8" i="2"/>
  <c r="F8" i="2" s="1"/>
  <c r="G8" i="2" s="1"/>
  <c r="D5" i="2"/>
  <c r="F5" i="2" s="1"/>
  <c r="G5" i="2" s="1"/>
  <c r="D7" i="2"/>
  <c r="F7" i="2" s="1"/>
  <c r="G7" i="2" s="1"/>
  <c r="D11" i="2"/>
  <c r="F11" i="2" s="1"/>
  <c r="G11" i="2" s="1"/>
  <c r="D15" i="2"/>
  <c r="F15" i="2" s="1"/>
  <c r="G15" i="2" s="1"/>
  <c r="B17" i="2"/>
  <c r="D17" i="2" s="1"/>
  <c r="F17" i="2" s="1"/>
  <c r="G17" i="2" s="1"/>
  <c r="D20" i="4" l="1"/>
  <c r="F20" i="4" s="1"/>
  <c r="G20" i="4" s="1"/>
  <c r="E20" i="4"/>
  <c r="E16" i="3"/>
  <c r="E17" i="2"/>
  <c r="C14" i="1" l="1"/>
  <c r="B14" i="1"/>
  <c r="E14" i="1" s="1"/>
  <c r="E13" i="1"/>
  <c r="D13" i="1"/>
  <c r="F13" i="1" s="1"/>
  <c r="G13" i="1" s="1"/>
  <c r="E12" i="1"/>
  <c r="D12" i="1"/>
  <c r="F12" i="1" s="1"/>
  <c r="G12" i="1" s="1"/>
  <c r="E11" i="1"/>
  <c r="D11" i="1"/>
  <c r="F11" i="1" s="1"/>
  <c r="G11" i="1" s="1"/>
  <c r="E10" i="1"/>
  <c r="D10" i="1"/>
  <c r="F10" i="1" s="1"/>
  <c r="G10" i="1" s="1"/>
  <c r="E9" i="1"/>
  <c r="D9" i="1"/>
  <c r="F9" i="1" s="1"/>
  <c r="G9" i="1" s="1"/>
  <c r="E8" i="1"/>
  <c r="D8" i="1"/>
  <c r="F8" i="1" s="1"/>
  <c r="G8" i="1" s="1"/>
  <c r="E7" i="1"/>
  <c r="D7" i="1"/>
  <c r="F7" i="1" s="1"/>
  <c r="G7" i="1" s="1"/>
  <c r="E6" i="1"/>
  <c r="D6" i="1"/>
  <c r="F6" i="1" s="1"/>
  <c r="G6" i="1" s="1"/>
  <c r="E5" i="1"/>
  <c r="D5" i="1"/>
  <c r="F5" i="1" s="1"/>
  <c r="G5" i="1" s="1"/>
  <c r="E4" i="1"/>
  <c r="D4" i="1"/>
  <c r="F4" i="1" s="1"/>
  <c r="G4" i="1" s="1"/>
  <c r="E3" i="1"/>
  <c r="D3" i="1"/>
  <c r="F3" i="1" s="1"/>
  <c r="G3" i="1" s="1"/>
  <c r="D14" i="1" l="1"/>
  <c r="F14" i="1" s="1"/>
  <c r="G14" i="1" s="1"/>
</calcChain>
</file>

<file path=xl/sharedStrings.xml><?xml version="1.0" encoding="utf-8"?>
<sst xmlns="http://schemas.openxmlformats.org/spreadsheetml/2006/main" count="148" uniqueCount="71">
  <si>
    <t>قطاع دمياط</t>
  </si>
  <si>
    <t>المستهدف</t>
  </si>
  <si>
    <t>المتبقى</t>
  </si>
  <si>
    <t>نسبة تنفيذ</t>
  </si>
  <si>
    <t>المستهدف - الأسبوعي</t>
  </si>
  <si>
    <t>المستهدف اليومي</t>
  </si>
  <si>
    <t xml:space="preserve">هندسة شمال دمياط                        </t>
  </si>
  <si>
    <t xml:space="preserve">هندسة جنوب دمياط                        </t>
  </si>
  <si>
    <t xml:space="preserve">هندسة عزبة البرج                        </t>
  </si>
  <si>
    <t xml:space="preserve">هندسة كفر سعد                           </t>
  </si>
  <si>
    <t xml:space="preserve">هندسة كفر البطيخ                        </t>
  </si>
  <si>
    <t xml:space="preserve">هندسة راس البر                          </t>
  </si>
  <si>
    <t xml:space="preserve">هندسة دمياط الجديدة                     </t>
  </si>
  <si>
    <t xml:space="preserve">هندسة الزرقا                            </t>
  </si>
  <si>
    <t xml:space="preserve">هندسة فارسكور                           </t>
  </si>
  <si>
    <t xml:space="preserve">هندسة الروضة                            </t>
  </si>
  <si>
    <t xml:space="preserve">هندسة الشعراء                           </t>
  </si>
  <si>
    <t>الإجمالي</t>
  </si>
  <si>
    <t xml:space="preserve"> المنفذ</t>
  </si>
  <si>
    <t>بيان ماتم تركيبة من العدادات الذكية بالمحولات العامة و الخاصة</t>
  </si>
  <si>
    <t>قطاع شمال الدقهلية</t>
  </si>
  <si>
    <t xml:space="preserve">هندسة مدينة شربين                       </t>
  </si>
  <si>
    <t xml:space="preserve">هندسة قري شربين                         </t>
  </si>
  <si>
    <t xml:space="preserve">هندسة دكرنس                             </t>
  </si>
  <si>
    <t xml:space="preserve">هندسة جمصة                              </t>
  </si>
  <si>
    <t xml:space="preserve">هندسة قري بلقاس                         </t>
  </si>
  <si>
    <t xml:space="preserve">هندسة مدينة بلقاس                       </t>
  </si>
  <si>
    <t xml:space="preserve">هندسة الستامونى                         </t>
  </si>
  <si>
    <t xml:space="preserve">هندسة بني عبيد                          </t>
  </si>
  <si>
    <t xml:space="preserve">هندسة منية النصر                        </t>
  </si>
  <si>
    <t xml:space="preserve">هندسة ميت سلسيل                         </t>
  </si>
  <si>
    <t xml:space="preserve">هندسة الجمالية                          </t>
  </si>
  <si>
    <t xml:space="preserve">هندسة قري المنزلة                       </t>
  </si>
  <si>
    <t xml:space="preserve">هندسة مدينة المنزلة                     </t>
  </si>
  <si>
    <t xml:space="preserve">هندسة المطرية                           </t>
  </si>
  <si>
    <t>بيان ماتم تركيبة من العدادات الذكية بالمحولات العامة والخاصة</t>
  </si>
  <si>
    <t>قطاع جنوب الدقهلية</t>
  </si>
  <si>
    <t>المنفذ</t>
  </si>
  <si>
    <t xml:space="preserve">هندسة شرق المنصورة                      </t>
  </si>
  <si>
    <t xml:space="preserve">هندسة غرب المنصورة                      </t>
  </si>
  <si>
    <t xml:space="preserve">هندسة طلخا                              </t>
  </si>
  <si>
    <t xml:space="preserve">هندسة نبروه                             </t>
  </si>
  <si>
    <t xml:space="preserve">هندسة قري المنصورة 1                    </t>
  </si>
  <si>
    <t xml:space="preserve">هندسة قري المنصورة 2                    </t>
  </si>
  <si>
    <t xml:space="preserve">هندسة اجا                               </t>
  </si>
  <si>
    <t xml:space="preserve">هندسة مدينة السنبلاوين                  </t>
  </si>
  <si>
    <t xml:space="preserve">هندسة قري السنبلاوين                    </t>
  </si>
  <si>
    <t xml:space="preserve">هندسة تمي الامديد                       </t>
  </si>
  <si>
    <t xml:space="preserve">هندسة مدينة ميت غمر                     </t>
  </si>
  <si>
    <t xml:space="preserve">هندسة قري ميت غمر                       </t>
  </si>
  <si>
    <t xml:space="preserve">هندسة كوم النور                         </t>
  </si>
  <si>
    <t>الأجمالي</t>
  </si>
  <si>
    <t>قطاع كفر الشيخ</t>
  </si>
  <si>
    <t xml:space="preserve">هندسة مدينة كفر الشيخ                   </t>
  </si>
  <si>
    <t xml:space="preserve">هندسة غرب كفر الشيخ                     </t>
  </si>
  <si>
    <t xml:space="preserve">هندسة شرق كفر الشيخ                     </t>
  </si>
  <si>
    <t xml:space="preserve">هندسة قلين                              </t>
  </si>
  <si>
    <t xml:space="preserve">هندسة قرى سيدي سالم                     </t>
  </si>
  <si>
    <t xml:space="preserve">هندسة مدينة سيدي سالم                   </t>
  </si>
  <si>
    <t xml:space="preserve">هندسة الرياض                            </t>
  </si>
  <si>
    <t xml:space="preserve">هندسة مدينة دسوق                        </t>
  </si>
  <si>
    <t xml:space="preserve">هندسة قرى شمال دسوق                     </t>
  </si>
  <si>
    <t xml:space="preserve">هندسة قرى جنوب دسوق                     </t>
  </si>
  <si>
    <t xml:space="preserve">هندسة فوه                               </t>
  </si>
  <si>
    <t xml:space="preserve">هندسة مطوبس                             </t>
  </si>
  <si>
    <t xml:space="preserve">هندسة مدينة الحامول                     </t>
  </si>
  <si>
    <t xml:space="preserve">هندسة قرى الحامول                       </t>
  </si>
  <si>
    <t xml:space="preserve">هندسة بيلا                              </t>
  </si>
  <si>
    <t xml:space="preserve">هندسة بلطيم                             </t>
  </si>
  <si>
    <t xml:space="preserve">هندسة برج البرلس                        </t>
  </si>
  <si>
    <t>القطاعات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</si>
</sst>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6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2"/>
      <color theme="2" tint="-0.89999084444715716"/>
      <name val="Arial Black"/>
      <family val="2"/>
    </font>
    <font>
      <b/>
      <sz val="11"/>
      <color theme="2" tint="-0.89999084444715716"/>
      <name val="Calibri"/>
      <family val="2"/>
    </font>
    <font>
      <sz val="12"/>
      <color theme="1"/>
      <name val="Arial Black"/>
      <family val="2"/>
    </font>
    <font>
      <sz val="16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Calibri"/>
      <family val="2"/>
    </font>
    <font>
      <b/>
      <sz val="16"/>
      <color theme="1"/>
      <name val="Arial"/>
      <family val="2"/>
    </font>
    <font>
      <b/>
      <sz val="14"/>
      <color rgb="FF000000"/>
      <name val="Arial"/>
      <family val="2"/>
    </font>
    <font>
      <b/>
      <sz val="18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2" borderId="2" xfId="0" applyFont="1" applyFill="1" applyBorder="1" applyAlignment="1">
      <alignment horizontal="right" vertical="center"/>
    </xf>
    <xf numFmtId="0" fontId="13" fillId="0" borderId="2" xfId="0" applyFont="1" applyBorder="1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64" fontId="4" fillId="0" borderId="2" xfId="1" applyNumberFormat="1" applyFont="1" applyFill="1" applyBorder="1" applyAlignment="1" applyProtection="1">
      <alignment horizontal="center" vertical="center"/>
    </xf>
    <xf numFmtId="164" fontId="5" fillId="2" borderId="2" xfId="1" applyNumberFormat="1" applyFont="1" applyFill="1" applyBorder="1" applyAlignment="1" applyProtection="1">
      <alignment horizontal="center" vertical="center"/>
    </xf>
    <xf numFmtId="164" fontId="10" fillId="0" borderId="2" xfId="1" applyNumberFormat="1" applyFont="1" applyFill="1" applyBorder="1" applyAlignment="1" applyProtection="1">
      <alignment horizontal="center" vertical="center"/>
    </xf>
    <xf numFmtId="164" fontId="13" fillId="0" borderId="2" xfId="1" applyNumberFormat="1" applyFont="1" applyFill="1" applyBorder="1" applyAlignment="1" applyProtection="1">
      <alignment horizontal="center" vertical="center"/>
    </xf>
    <xf numFmtId="164" fontId="14" fillId="2" borderId="2" xfId="1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Percent" xfId="1" builtinId="5"/>
  </cellStyles>
  <dxfs count="55">
    <dxf>
      <font>
        <strike val="0"/>
        <outline val="0"/>
        <shadow val="0"/>
        <u val="none"/>
        <vertAlign val="baseline"/>
        <color rgb="FF000000"/>
        <name val="Arial"/>
        <scheme val="none"/>
      </font>
      <numFmt numFmtId="164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numFmt numFmtId="164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numFmt numFmtId="164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numFmt numFmtId="164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rial Blac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2" tint="-0.89999084444715716"/>
        <name val="Arial Blac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Desktop\&#1575;&#1604;&#1605;&#1581;&#1608;&#1604;&#1575;&#1578;%20&#1575;&#1604;&#1582;&#1575;&#1589;&#1577;-A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دمياط"/>
      <sheetName val="شمال الدقهلية"/>
      <sheetName val="جنوب الدقهلية"/>
      <sheetName val="كفر الشيخ"/>
      <sheetName val="المحولات الخاصة-A5"/>
    </sheetNames>
    <sheetDataSet>
      <sheetData sheetId="0"/>
      <sheetData sheetId="1">
        <row r="3">
          <cell r="B3">
            <v>73</v>
          </cell>
        </row>
        <row r="4">
          <cell r="B4">
            <v>130</v>
          </cell>
        </row>
        <row r="5">
          <cell r="B5">
            <v>92</v>
          </cell>
          <cell r="C5">
            <v>3</v>
          </cell>
        </row>
        <row r="6">
          <cell r="B6">
            <v>92</v>
          </cell>
        </row>
        <row r="7">
          <cell r="B7">
            <v>185</v>
          </cell>
        </row>
        <row r="8">
          <cell r="B8">
            <v>66</v>
          </cell>
        </row>
        <row r="9">
          <cell r="B9">
            <v>90</v>
          </cell>
        </row>
        <row r="10">
          <cell r="B10">
            <v>76</v>
          </cell>
        </row>
        <row r="11">
          <cell r="B11">
            <v>87</v>
          </cell>
        </row>
        <row r="12">
          <cell r="B12">
            <v>58</v>
          </cell>
        </row>
        <row r="13">
          <cell r="B13">
            <v>52</v>
          </cell>
        </row>
        <row r="14">
          <cell r="B14">
            <v>49</v>
          </cell>
        </row>
        <row r="15">
          <cell r="B15">
            <v>47</v>
          </cell>
        </row>
        <row r="16">
          <cell r="B16">
            <v>66</v>
          </cell>
        </row>
      </sheetData>
      <sheetData sheetId="2">
        <row r="3">
          <cell r="B3">
            <v>286</v>
          </cell>
          <cell r="C3">
            <v>13</v>
          </cell>
        </row>
        <row r="4">
          <cell r="B4">
            <v>283</v>
          </cell>
        </row>
        <row r="5">
          <cell r="B5">
            <v>272</v>
          </cell>
          <cell r="C5">
            <v>3</v>
          </cell>
        </row>
        <row r="6">
          <cell r="B6">
            <v>135</v>
          </cell>
        </row>
        <row r="7">
          <cell r="B7">
            <v>192</v>
          </cell>
        </row>
        <row r="8">
          <cell r="B8">
            <v>177</v>
          </cell>
        </row>
        <row r="9">
          <cell r="B9">
            <v>377</v>
          </cell>
        </row>
        <row r="10">
          <cell r="B10">
            <v>52</v>
          </cell>
        </row>
        <row r="11">
          <cell r="B11">
            <v>137</v>
          </cell>
        </row>
        <row r="12">
          <cell r="B12">
            <v>72</v>
          </cell>
        </row>
        <row r="13">
          <cell r="B13">
            <v>220</v>
          </cell>
        </row>
        <row r="14">
          <cell r="B14">
            <v>239</v>
          </cell>
        </row>
        <row r="15">
          <cell r="B15">
            <v>166</v>
          </cell>
        </row>
      </sheetData>
      <sheetData sheetId="3">
        <row r="3">
          <cell r="B3">
            <v>133</v>
          </cell>
        </row>
        <row r="4">
          <cell r="B4">
            <v>89</v>
          </cell>
        </row>
        <row r="5">
          <cell r="B5">
            <v>61</v>
          </cell>
          <cell r="C5">
            <v>7</v>
          </cell>
        </row>
        <row r="6">
          <cell r="B6">
            <v>68</v>
          </cell>
          <cell r="C6">
            <v>5</v>
          </cell>
        </row>
        <row r="7">
          <cell r="B7">
            <v>84</v>
          </cell>
        </row>
        <row r="8">
          <cell r="B8">
            <v>51</v>
          </cell>
        </row>
        <row r="9">
          <cell r="B9">
            <v>111</v>
          </cell>
          <cell r="C9">
            <v>2</v>
          </cell>
        </row>
        <row r="10">
          <cell r="B10">
            <v>47</v>
          </cell>
          <cell r="C10">
            <v>3</v>
          </cell>
        </row>
        <row r="11">
          <cell r="B11">
            <v>87</v>
          </cell>
        </row>
        <row r="12">
          <cell r="B12">
            <v>45</v>
          </cell>
        </row>
        <row r="13">
          <cell r="B13">
            <v>143</v>
          </cell>
          <cell r="C13">
            <v>4</v>
          </cell>
        </row>
        <row r="14">
          <cell r="B14">
            <v>181</v>
          </cell>
        </row>
        <row r="15">
          <cell r="B15">
            <v>89</v>
          </cell>
        </row>
        <row r="16">
          <cell r="B16">
            <v>59</v>
          </cell>
        </row>
        <row r="17">
          <cell r="B17">
            <v>127</v>
          </cell>
        </row>
        <row r="18">
          <cell r="B18">
            <v>139</v>
          </cell>
          <cell r="C18">
            <v>1</v>
          </cell>
        </row>
        <row r="19">
          <cell r="B19">
            <v>30</v>
          </cell>
        </row>
      </sheetData>
      <sheetData sheetId="4" refreshError="1"/>
    </sheetDataSet>
  </externalBook>
</externalLink>
</file>

<file path=xl/tables/table1.xml><?xml version="1.0" encoding="utf-8"?>
<table xmlns="http://schemas.openxmlformats.org/spreadsheetml/2006/main" id="1" name="Table1" displayName="Table1" ref="A1:B57" totalsRowCount="1" headerRowBorderDxfId="54" tableBorderDxfId="53" totalsRowBorderDxfId="52">
  <autoFilter ref="A1:B57"/>
  <tableColumns count="2">
    <tableColumn id="1" name="القطاعات" dataDxfId="51" totalsRowDxfId="13"/>
    <tableColumn id="2" name="المستهدف" totalsRowFunction="sum" dataDxfId="50" totalsRow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ypesTable" displayName="TypesTable" ref="A2:G14" totalsRowShown="0" headerRowDxfId="49" dataDxfId="47" headerRowBorderDxfId="48" tableBorderDxfId="46" totalsRowBorderDxfId="45">
  <tableColumns count="7">
    <tableColumn id="2" name="قطاع دمياط" dataDxfId="44"/>
    <tableColumn id="1" name="المستهدف" dataDxfId="43"/>
    <tableColumn id="6" name=" المنفذ" dataDxfId="42"/>
    <tableColumn id="5" name="المتبقى" dataDxfId="11">
      <calculatedColumnFormula>TypesTable[[#This Row],[المستهدف]]-TypesTable[[#This Row],[ المنفذ]]</calculatedColumnFormula>
    </tableColumn>
    <tableColumn id="8" name="نسبة تنفيذ" dataDxfId="9">
      <calculatedColumnFormula>TypesTable[[#This Row],[ المنفذ]]/TypesTable[[#This Row],[المستهدف]]</calculatedColumnFormula>
    </tableColumn>
    <tableColumn id="12" name="المستهدف - الأسبوعي" dataDxfId="10" dataCellStyle="Percent">
      <calculatedColumnFormula>TypesTable[[#This Row],[المتبقى]]/8</calculatedColumnFormula>
    </tableColumn>
    <tableColumn id="11" name="المستهدف اليومي" dataDxfId="41">
      <calculatedColumnFormula>TypesTable[[#This Row],[المستهدف - الأسبوعي]]/6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ypesTable3" displayName="TypesTable3" ref="A2:G17" totalsRowShown="0" headerRowDxfId="14" dataDxfId="40" headerRowBorderDxfId="15" tableBorderDxfId="39" totalsRowBorderDxfId="38">
  <tableColumns count="7">
    <tableColumn id="2" name="قطاع شمال الدقهلية" dataDxfId="37"/>
    <tableColumn id="1" name="المستهدف" dataDxfId="36"/>
    <tableColumn id="6" name=" المنفذ" dataDxfId="35"/>
    <tableColumn id="5" name="المتبقى" dataDxfId="8">
      <calculatedColumnFormula>#REF!-TypesTable3[[#This Row],[ المنفذ]]</calculatedColumnFormula>
    </tableColumn>
    <tableColumn id="8" name="نسبة تنفيذ" dataDxfId="6">
      <calculatedColumnFormula>(TypesTable3[[#This Row],[ المنفذ]]/#REF!)</calculatedColumnFormula>
    </tableColumn>
    <tableColumn id="12" name="المستهدف - الأسبوعي" dataDxfId="7" dataCellStyle="Percent">
      <calculatedColumnFormula>#REF!/7</calculatedColumnFormula>
    </tableColumn>
    <tableColumn id="11" name="المستهدف اليومي" dataDxfId="34">
      <calculatedColumnFormula>TypesTable3[[#This Row],[المستهدف - الأسبوعي]]/6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TypesTable4" displayName="TypesTable4" ref="A2:G16" totalsRowShown="0" headerRowDxfId="33" dataDxfId="31" headerRowBorderDxfId="32" tableBorderDxfId="30" totalsRowBorderDxfId="29">
  <tableColumns count="7">
    <tableColumn id="2" name="قطاع جنوب الدقهلية" dataDxfId="28"/>
    <tableColumn id="1" name="المستهدف" dataDxfId="27"/>
    <tableColumn id="6" name="المنفذ" dataDxfId="26"/>
    <tableColumn id="5" name="المتبقى" dataDxfId="5">
      <calculatedColumnFormula>TypesTable4[[#This Row],[المستهدف]]-TypesTable4[[#This Row],[المنفذ]]</calculatedColumnFormula>
    </tableColumn>
    <tableColumn id="8" name="نسبة تنفيذ" dataDxfId="3">
      <calculatedColumnFormula>TypesTable4[[#This Row],[المنفذ]]/TypesTable4[[#This Row],[المستهدف]]</calculatedColumnFormula>
    </tableColumn>
    <tableColumn id="12" name="المستهدف - الأسبوعي" dataDxfId="4" dataCellStyle="Percent">
      <calculatedColumnFormula>TypesTable4[[#This Row],[المتبقى]]/8</calculatedColumnFormula>
    </tableColumn>
    <tableColumn id="11" name="المستهدف اليومي" dataDxfId="25">
      <calculatedColumnFormula>TypesTable4[[#This Row],[المستهدف - الأسبوعي]]/6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8" name="TypesTable5" displayName="TypesTable5" ref="A2:G20" totalsRowShown="0" headerRowDxfId="16" dataDxfId="24" headerRowBorderDxfId="17" tableBorderDxfId="23" totalsRowBorderDxfId="22">
  <tableColumns count="7">
    <tableColumn id="2" name="قطاع كفر الشيخ" dataDxfId="21"/>
    <tableColumn id="1" name="المستهدف" dataDxfId="20"/>
    <tableColumn id="6" name="المنفذ" dataDxfId="19"/>
    <tableColumn id="5" name="المتبقى" dataDxfId="2">
      <calculatedColumnFormula>#REF!-TypesTable5[[#This Row],[المنفذ]]</calculatedColumnFormula>
    </tableColumn>
    <tableColumn id="8" name="نسبة تنفيذ" dataDxfId="0">
      <calculatedColumnFormula>(TypesTable5[[#This Row],[المنفذ]]/#REF!)</calculatedColumnFormula>
    </tableColumn>
    <tableColumn id="12" name="المستهدف - الأسبوعي" dataDxfId="1" dataCellStyle="Percent">
      <calculatedColumnFormula>#REF!/7</calculatedColumnFormula>
    </tableColumn>
    <tableColumn id="11" name="المستهدف اليومي" dataDxfId="18">
      <calculatedColumnFormula>TypesTable5[[#This Row],[المستهدف - الأسبوعي]]/6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rightToLeft="1" topLeftCell="A52" workbookViewId="0">
      <selection activeCell="B63" sqref="B63"/>
    </sheetView>
  </sheetViews>
  <sheetFormatPr defaultRowHeight="15.95" customHeight="1" x14ac:dyDescent="0.25"/>
  <cols>
    <col min="1" max="1" width="29" style="20" bestFit="1" customWidth="1"/>
    <col min="2" max="2" width="11.7109375" bestFit="1" customWidth="1"/>
  </cols>
  <sheetData>
    <row r="1" spans="1:2" ht="15.95" customHeight="1" x14ac:dyDescent="0.25">
      <c r="A1" s="23" t="s">
        <v>70</v>
      </c>
      <c r="B1" s="23" t="s">
        <v>1</v>
      </c>
    </row>
    <row r="2" spans="1:2" ht="15.95" customHeight="1" x14ac:dyDescent="0.25">
      <c r="A2" s="21" t="s">
        <v>21</v>
      </c>
      <c r="B2" s="21">
        <v>193</v>
      </c>
    </row>
    <row r="3" spans="1:2" ht="15.95" customHeight="1" x14ac:dyDescent="0.25">
      <c r="A3" s="22" t="s">
        <v>22</v>
      </c>
      <c r="B3" s="21">
        <v>324</v>
      </c>
    </row>
    <row r="4" spans="1:2" ht="15.95" customHeight="1" x14ac:dyDescent="0.25">
      <c r="A4" s="21" t="s">
        <v>23</v>
      </c>
      <c r="B4" s="21">
        <v>271</v>
      </c>
    </row>
    <row r="5" spans="1:2" ht="15.95" customHeight="1" x14ac:dyDescent="0.25">
      <c r="A5" s="22" t="s">
        <v>24</v>
      </c>
      <c r="B5" s="21">
        <v>240</v>
      </c>
    </row>
    <row r="6" spans="1:2" ht="15.95" customHeight="1" x14ac:dyDescent="0.25">
      <c r="A6" s="21" t="s">
        <v>25</v>
      </c>
      <c r="B6" s="21">
        <v>421</v>
      </c>
    </row>
    <row r="7" spans="1:2" ht="15.95" customHeight="1" x14ac:dyDescent="0.25">
      <c r="A7" s="22" t="s">
        <v>26</v>
      </c>
      <c r="B7" s="21">
        <v>223</v>
      </c>
    </row>
    <row r="8" spans="1:2" ht="15.95" customHeight="1" x14ac:dyDescent="0.25">
      <c r="A8" s="21" t="s">
        <v>27</v>
      </c>
      <c r="B8" s="21">
        <v>364</v>
      </c>
    </row>
    <row r="9" spans="1:2" ht="15.95" customHeight="1" x14ac:dyDescent="0.25">
      <c r="A9" s="22" t="s">
        <v>28</v>
      </c>
      <c r="B9" s="21">
        <v>254</v>
      </c>
    </row>
    <row r="10" spans="1:2" ht="15.95" customHeight="1" x14ac:dyDescent="0.25">
      <c r="A10" s="21" t="s">
        <v>29</v>
      </c>
      <c r="B10" s="21">
        <v>308</v>
      </c>
    </row>
    <row r="11" spans="1:2" ht="15.95" customHeight="1" x14ac:dyDescent="0.25">
      <c r="A11" s="22" t="s">
        <v>30</v>
      </c>
      <c r="B11" s="21">
        <v>230</v>
      </c>
    </row>
    <row r="12" spans="1:2" ht="15.95" customHeight="1" x14ac:dyDescent="0.25">
      <c r="A12" s="21" t="s">
        <v>31</v>
      </c>
      <c r="B12" s="21">
        <v>260</v>
      </c>
    </row>
    <row r="13" spans="1:2" ht="15.95" customHeight="1" x14ac:dyDescent="0.25">
      <c r="A13" s="22" t="s">
        <v>32</v>
      </c>
      <c r="B13" s="21">
        <v>296</v>
      </c>
    </row>
    <row r="14" spans="1:2" ht="15.95" customHeight="1" x14ac:dyDescent="0.25">
      <c r="A14" s="21" t="s">
        <v>33</v>
      </c>
      <c r="B14" s="21">
        <v>119</v>
      </c>
    </row>
    <row r="15" spans="1:2" ht="15.95" customHeight="1" x14ac:dyDescent="0.25">
      <c r="A15" s="22" t="s">
        <v>34</v>
      </c>
      <c r="B15" s="21">
        <v>297</v>
      </c>
    </row>
    <row r="16" spans="1:2" ht="15.95" customHeight="1" x14ac:dyDescent="0.25">
      <c r="A16" s="22" t="s">
        <v>6</v>
      </c>
      <c r="B16" s="21">
        <v>310</v>
      </c>
    </row>
    <row r="17" spans="1:2" ht="15.95" customHeight="1" x14ac:dyDescent="0.25">
      <c r="A17" s="21" t="s">
        <v>7</v>
      </c>
      <c r="B17" s="21">
        <v>535</v>
      </c>
    </row>
    <row r="18" spans="1:2" ht="15.95" customHeight="1" x14ac:dyDescent="0.25">
      <c r="A18" s="22" t="s">
        <v>8</v>
      </c>
      <c r="B18" s="21">
        <v>250</v>
      </c>
    </row>
    <row r="19" spans="1:2" ht="15.95" customHeight="1" x14ac:dyDescent="0.25">
      <c r="A19" s="21" t="s">
        <v>9</v>
      </c>
      <c r="B19" s="21">
        <v>95</v>
      </c>
    </row>
    <row r="20" spans="1:2" ht="15.95" customHeight="1" x14ac:dyDescent="0.25">
      <c r="A20" s="22" t="s">
        <v>10</v>
      </c>
      <c r="B20" s="21">
        <v>829</v>
      </c>
    </row>
    <row r="21" spans="1:2" ht="15.95" customHeight="1" x14ac:dyDescent="0.25">
      <c r="A21" s="21" t="s">
        <v>11</v>
      </c>
      <c r="B21" s="21">
        <v>232</v>
      </c>
    </row>
    <row r="22" spans="1:2" ht="15.95" customHeight="1" x14ac:dyDescent="0.25">
      <c r="A22" s="22" t="s">
        <v>12</v>
      </c>
      <c r="B22" s="21">
        <v>162</v>
      </c>
    </row>
    <row r="23" spans="1:2" ht="15.95" customHeight="1" x14ac:dyDescent="0.25">
      <c r="A23" s="21" t="s">
        <v>13</v>
      </c>
      <c r="B23" s="21">
        <v>434</v>
      </c>
    </row>
    <row r="24" spans="1:2" ht="15.95" customHeight="1" x14ac:dyDescent="0.25">
      <c r="A24" s="22" t="s">
        <v>14</v>
      </c>
      <c r="B24" s="21">
        <v>369</v>
      </c>
    </row>
    <row r="25" spans="1:2" ht="15.95" customHeight="1" x14ac:dyDescent="0.25">
      <c r="A25" s="21" t="s">
        <v>15</v>
      </c>
      <c r="B25" s="21">
        <v>281</v>
      </c>
    </row>
    <row r="26" spans="1:2" ht="15.95" customHeight="1" x14ac:dyDescent="0.25">
      <c r="A26" s="22" t="s">
        <v>16</v>
      </c>
      <c r="B26" s="21">
        <v>299</v>
      </c>
    </row>
    <row r="27" spans="1:2" ht="15.95" customHeight="1" x14ac:dyDescent="0.25">
      <c r="A27" s="22" t="s">
        <v>38</v>
      </c>
      <c r="B27" s="21">
        <v>707</v>
      </c>
    </row>
    <row r="28" spans="1:2" ht="15.95" customHeight="1" x14ac:dyDescent="0.25">
      <c r="A28" s="21" t="s">
        <v>39</v>
      </c>
      <c r="B28" s="21">
        <v>880</v>
      </c>
    </row>
    <row r="29" spans="1:2" ht="15.95" customHeight="1" x14ac:dyDescent="0.25">
      <c r="A29" s="22" t="s">
        <v>40</v>
      </c>
      <c r="B29" s="21">
        <v>637</v>
      </c>
    </row>
    <row r="30" spans="1:2" ht="15.95" customHeight="1" x14ac:dyDescent="0.25">
      <c r="A30" s="21" t="s">
        <v>41</v>
      </c>
      <c r="B30" s="21">
        <v>371</v>
      </c>
    </row>
    <row r="31" spans="1:2" ht="15.95" customHeight="1" x14ac:dyDescent="0.25">
      <c r="A31" s="22" t="s">
        <v>42</v>
      </c>
      <c r="B31" s="21">
        <v>497</v>
      </c>
    </row>
    <row r="32" spans="1:2" ht="15.95" customHeight="1" x14ac:dyDescent="0.25">
      <c r="A32" s="21" t="s">
        <v>43</v>
      </c>
      <c r="B32" s="21">
        <v>387</v>
      </c>
    </row>
    <row r="33" spans="1:2" ht="15.95" customHeight="1" x14ac:dyDescent="0.25">
      <c r="A33" s="22" t="s">
        <v>44</v>
      </c>
      <c r="B33" s="21">
        <v>760</v>
      </c>
    </row>
    <row r="34" spans="1:2" ht="15.95" customHeight="1" x14ac:dyDescent="0.25">
      <c r="A34" s="21" t="s">
        <v>45</v>
      </c>
      <c r="B34" s="21">
        <v>139</v>
      </c>
    </row>
    <row r="35" spans="1:2" ht="15.95" customHeight="1" x14ac:dyDescent="0.25">
      <c r="A35" s="22" t="s">
        <v>46</v>
      </c>
      <c r="B35" s="21">
        <v>571</v>
      </c>
    </row>
    <row r="36" spans="1:2" ht="15.95" customHeight="1" x14ac:dyDescent="0.25">
      <c r="A36" s="21" t="s">
        <v>47</v>
      </c>
      <c r="B36" s="21">
        <v>275</v>
      </c>
    </row>
    <row r="37" spans="1:2" ht="15.95" customHeight="1" x14ac:dyDescent="0.25">
      <c r="A37" s="22" t="s">
        <v>48</v>
      </c>
      <c r="B37" s="21">
        <v>339</v>
      </c>
    </row>
    <row r="38" spans="1:2" ht="15.95" customHeight="1" x14ac:dyDescent="0.25">
      <c r="A38" s="21" t="s">
        <v>49</v>
      </c>
      <c r="B38" s="21">
        <v>475</v>
      </c>
    </row>
    <row r="39" spans="1:2" ht="15.95" customHeight="1" x14ac:dyDescent="0.25">
      <c r="A39" s="22" t="s">
        <v>50</v>
      </c>
      <c r="B39" s="21">
        <v>345</v>
      </c>
    </row>
    <row r="40" spans="1:2" ht="15.95" customHeight="1" x14ac:dyDescent="0.25">
      <c r="A40" s="21" t="s">
        <v>53</v>
      </c>
      <c r="B40" s="21">
        <v>446</v>
      </c>
    </row>
    <row r="41" spans="1:2" ht="15.95" customHeight="1" x14ac:dyDescent="0.25">
      <c r="A41" s="22" t="s">
        <v>54</v>
      </c>
      <c r="B41" s="21">
        <v>357</v>
      </c>
    </row>
    <row r="42" spans="1:2" ht="15.95" customHeight="1" x14ac:dyDescent="0.25">
      <c r="A42" s="21" t="s">
        <v>55</v>
      </c>
      <c r="B42" s="21">
        <v>332</v>
      </c>
    </row>
    <row r="43" spans="1:2" ht="15.95" customHeight="1" x14ac:dyDescent="0.25">
      <c r="A43" s="22" t="s">
        <v>56</v>
      </c>
      <c r="B43" s="21">
        <v>313</v>
      </c>
    </row>
    <row r="44" spans="1:2" ht="15.95" customHeight="1" x14ac:dyDescent="0.25">
      <c r="A44" s="21" t="s">
        <v>57</v>
      </c>
      <c r="B44" s="21">
        <v>389</v>
      </c>
    </row>
    <row r="45" spans="1:2" ht="15.95" customHeight="1" x14ac:dyDescent="0.25">
      <c r="A45" s="22" t="s">
        <v>58</v>
      </c>
      <c r="B45" s="21">
        <v>353</v>
      </c>
    </row>
    <row r="46" spans="1:2" ht="15.95" customHeight="1" x14ac:dyDescent="0.25">
      <c r="A46" s="21" t="s">
        <v>59</v>
      </c>
      <c r="B46" s="21">
        <v>435</v>
      </c>
    </row>
    <row r="47" spans="1:2" ht="15.95" customHeight="1" x14ac:dyDescent="0.25">
      <c r="A47" s="22" t="s">
        <v>60</v>
      </c>
      <c r="B47" s="21">
        <v>201</v>
      </c>
    </row>
    <row r="48" spans="1:2" ht="15.95" customHeight="1" x14ac:dyDescent="0.25">
      <c r="A48" s="21" t="s">
        <v>61</v>
      </c>
      <c r="B48" s="21">
        <v>385</v>
      </c>
    </row>
    <row r="49" spans="1:2" ht="15.95" customHeight="1" x14ac:dyDescent="0.25">
      <c r="A49" s="22" t="s">
        <v>62</v>
      </c>
      <c r="B49" s="21">
        <v>225</v>
      </c>
    </row>
    <row r="50" spans="1:2" ht="15.95" customHeight="1" x14ac:dyDescent="0.25">
      <c r="A50" s="21" t="s">
        <v>63</v>
      </c>
      <c r="B50" s="21">
        <v>332</v>
      </c>
    </row>
    <row r="51" spans="1:2" ht="15.95" customHeight="1" x14ac:dyDescent="0.25">
      <c r="A51" s="22" t="s">
        <v>64</v>
      </c>
      <c r="B51" s="21">
        <v>586</v>
      </c>
    </row>
    <row r="52" spans="1:2" ht="15.95" customHeight="1" x14ac:dyDescent="0.25">
      <c r="A52" s="21" t="s">
        <v>65</v>
      </c>
      <c r="B52" s="21">
        <v>243</v>
      </c>
    </row>
    <row r="53" spans="1:2" ht="15.95" customHeight="1" x14ac:dyDescent="0.25">
      <c r="A53" s="22" t="s">
        <v>66</v>
      </c>
      <c r="B53" s="21">
        <v>333</v>
      </c>
    </row>
    <row r="54" spans="1:2" ht="15.95" customHeight="1" x14ac:dyDescent="0.25">
      <c r="A54" s="21" t="s">
        <v>67</v>
      </c>
      <c r="B54" s="21">
        <v>502</v>
      </c>
    </row>
    <row r="55" spans="1:2" ht="15.95" customHeight="1" x14ac:dyDescent="0.25">
      <c r="A55" s="22" t="s">
        <v>68</v>
      </c>
      <c r="B55" s="21">
        <v>365</v>
      </c>
    </row>
    <row r="56" spans="1:2" ht="15.95" customHeight="1" x14ac:dyDescent="0.25">
      <c r="A56" s="24" t="s">
        <v>69</v>
      </c>
      <c r="B56" s="21">
        <v>155</v>
      </c>
    </row>
    <row r="57" spans="1:2" ht="15.95" customHeight="1" x14ac:dyDescent="0.25">
      <c r="A57" s="27"/>
      <c r="B57" s="27">
        <f>SUBTOTAL(109,Table1[المستهدف])</f>
        <v>19931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rightToLeft="1" workbookViewId="0">
      <selection activeCell="F15" sqref="F15"/>
    </sheetView>
  </sheetViews>
  <sheetFormatPr defaultColWidth="9" defaultRowHeight="20.100000000000001" customHeight="1" x14ac:dyDescent="0.25"/>
  <cols>
    <col min="1" max="1" width="25.140625" style="9" bestFit="1" customWidth="1"/>
    <col min="2" max="2" width="11.7109375" style="9" bestFit="1" customWidth="1"/>
    <col min="3" max="3" width="18.42578125" style="1" bestFit="1" customWidth="1"/>
    <col min="4" max="4" width="9.7109375" style="1" bestFit="1" customWidth="1"/>
    <col min="5" max="5" width="11.42578125" style="1" bestFit="1" customWidth="1"/>
    <col min="6" max="6" width="20.140625" style="1" bestFit="1" customWidth="1"/>
    <col min="7" max="7" width="16.7109375" style="1" bestFit="1" customWidth="1"/>
    <col min="8" max="16384" width="9" style="1"/>
  </cols>
  <sheetData>
    <row r="1" spans="1:7" ht="33.75" x14ac:dyDescent="0.25">
      <c r="A1" s="25" t="s">
        <v>19</v>
      </c>
      <c r="B1" s="25"/>
      <c r="C1" s="25"/>
      <c r="D1" s="25"/>
      <c r="E1" s="25"/>
      <c r="F1" s="25"/>
      <c r="G1" s="25"/>
    </row>
    <row r="2" spans="1:7" s="11" customFormat="1" ht="20.100000000000001" customHeight="1" x14ac:dyDescent="0.25">
      <c r="A2" s="10" t="s">
        <v>0</v>
      </c>
      <c r="B2" s="10" t="s">
        <v>1</v>
      </c>
      <c r="C2" s="10" t="s">
        <v>18</v>
      </c>
      <c r="D2" s="10" t="s">
        <v>2</v>
      </c>
      <c r="E2" s="10" t="s">
        <v>3</v>
      </c>
      <c r="F2" s="10" t="s">
        <v>4</v>
      </c>
      <c r="G2" s="10" t="s">
        <v>5</v>
      </c>
    </row>
    <row r="3" spans="1:7" ht="20.100000000000001" customHeight="1" x14ac:dyDescent="0.25">
      <c r="A3" s="3" t="s">
        <v>6</v>
      </c>
      <c r="B3" s="21">
        <v>310</v>
      </c>
      <c r="C3" s="4">
        <v>0</v>
      </c>
      <c r="D3" s="4">
        <f>TypesTable[[#This Row],[المستهدف]]-TypesTable[[#This Row],[ المنفذ]]</f>
        <v>310</v>
      </c>
      <c r="E3" s="28">
        <f>TypesTable[[#This Row],[ المنفذ]]/TypesTable[[#This Row],[المستهدف]]</f>
        <v>0</v>
      </c>
      <c r="F3" s="5">
        <f>TypesTable[[#This Row],[المتبقى]]/8</f>
        <v>38.75</v>
      </c>
      <c r="G3" s="5">
        <f>TypesTable[[#This Row],[المستهدف - الأسبوعي]]/6</f>
        <v>6.458333333333333</v>
      </c>
    </row>
    <row r="4" spans="1:7" ht="20.100000000000001" customHeight="1" x14ac:dyDescent="0.25">
      <c r="A4" s="3" t="s">
        <v>7</v>
      </c>
      <c r="B4" s="21">
        <v>535</v>
      </c>
      <c r="C4" s="4">
        <v>86</v>
      </c>
      <c r="D4" s="4">
        <f>TypesTable[[#This Row],[المستهدف]]-TypesTable[[#This Row],[ المنفذ]]</f>
        <v>449</v>
      </c>
      <c r="E4" s="28">
        <f>TypesTable[[#This Row],[ المنفذ]]/TypesTable[[#This Row],[المستهدف]]</f>
        <v>0.16074766355140188</v>
      </c>
      <c r="F4" s="5">
        <f>TypesTable[[#This Row],[المتبقى]]/8</f>
        <v>56.125</v>
      </c>
      <c r="G4" s="5">
        <f>TypesTable[[#This Row],[المستهدف - الأسبوعي]]/6</f>
        <v>9.3541666666666661</v>
      </c>
    </row>
    <row r="5" spans="1:7" ht="20.100000000000001" customHeight="1" x14ac:dyDescent="0.25">
      <c r="A5" s="3" t="s">
        <v>8</v>
      </c>
      <c r="B5" s="21">
        <v>250</v>
      </c>
      <c r="C5" s="4">
        <v>0</v>
      </c>
      <c r="D5" s="4">
        <f>TypesTable[[#This Row],[المستهدف]]-TypesTable[[#This Row],[ المنفذ]]</f>
        <v>250</v>
      </c>
      <c r="E5" s="28">
        <f>TypesTable[[#This Row],[ المنفذ]]/TypesTable[[#This Row],[المستهدف]]</f>
        <v>0</v>
      </c>
      <c r="F5" s="5">
        <f>TypesTable[[#This Row],[المتبقى]]/8</f>
        <v>31.25</v>
      </c>
      <c r="G5" s="5">
        <f>TypesTable[[#This Row],[المستهدف - الأسبوعي]]/6</f>
        <v>5.208333333333333</v>
      </c>
    </row>
    <row r="6" spans="1:7" ht="20.100000000000001" customHeight="1" x14ac:dyDescent="0.25">
      <c r="A6" s="3" t="s">
        <v>9</v>
      </c>
      <c r="B6" s="21">
        <v>95</v>
      </c>
      <c r="C6" s="4">
        <v>10</v>
      </c>
      <c r="D6" s="4">
        <f>TypesTable[[#This Row],[المستهدف]]-TypesTable[[#This Row],[ المنفذ]]</f>
        <v>85</v>
      </c>
      <c r="E6" s="28">
        <f>TypesTable[[#This Row],[ المنفذ]]/TypesTable[[#This Row],[المستهدف]]</f>
        <v>0.10526315789473684</v>
      </c>
      <c r="F6" s="5">
        <f>TypesTable[[#This Row],[المتبقى]]/8</f>
        <v>10.625</v>
      </c>
      <c r="G6" s="5">
        <f>TypesTable[[#This Row],[المستهدف - الأسبوعي]]/6</f>
        <v>1.7708333333333333</v>
      </c>
    </row>
    <row r="7" spans="1:7" ht="20.100000000000001" customHeight="1" x14ac:dyDescent="0.25">
      <c r="A7" s="3" t="s">
        <v>10</v>
      </c>
      <c r="B7" s="21">
        <v>829</v>
      </c>
      <c r="C7" s="4">
        <v>0</v>
      </c>
      <c r="D7" s="4">
        <f>TypesTable[[#This Row],[المستهدف]]-TypesTable[[#This Row],[ المنفذ]]</f>
        <v>829</v>
      </c>
      <c r="E7" s="28">
        <f>TypesTable[[#This Row],[ المنفذ]]/TypesTable[[#This Row],[المستهدف]]</f>
        <v>0</v>
      </c>
      <c r="F7" s="5">
        <f>TypesTable[[#This Row],[المتبقى]]/8</f>
        <v>103.625</v>
      </c>
      <c r="G7" s="5">
        <f>TypesTable[[#This Row],[المستهدف - الأسبوعي]]/6</f>
        <v>17.270833333333332</v>
      </c>
    </row>
    <row r="8" spans="1:7" ht="20.100000000000001" customHeight="1" x14ac:dyDescent="0.25">
      <c r="A8" s="3" t="s">
        <v>11</v>
      </c>
      <c r="B8" s="21">
        <v>232</v>
      </c>
      <c r="C8" s="4">
        <v>10</v>
      </c>
      <c r="D8" s="4">
        <f>TypesTable[[#This Row],[المستهدف]]-TypesTable[[#This Row],[ المنفذ]]</f>
        <v>222</v>
      </c>
      <c r="E8" s="28">
        <f>TypesTable[[#This Row],[ المنفذ]]/TypesTable[[#This Row],[المستهدف]]</f>
        <v>4.3103448275862072E-2</v>
      </c>
      <c r="F8" s="5">
        <f>TypesTable[[#This Row],[المتبقى]]/8</f>
        <v>27.75</v>
      </c>
      <c r="G8" s="5">
        <f>TypesTable[[#This Row],[المستهدف - الأسبوعي]]/6</f>
        <v>4.625</v>
      </c>
    </row>
    <row r="9" spans="1:7" ht="20.100000000000001" customHeight="1" x14ac:dyDescent="0.25">
      <c r="A9" s="3" t="s">
        <v>12</v>
      </c>
      <c r="B9" s="21">
        <v>162</v>
      </c>
      <c r="C9" s="4">
        <v>0</v>
      </c>
      <c r="D9" s="4">
        <f>TypesTable[[#This Row],[المستهدف]]-TypesTable[[#This Row],[ المنفذ]]</f>
        <v>162</v>
      </c>
      <c r="E9" s="28">
        <f>TypesTable[[#This Row],[ المنفذ]]/TypesTable[[#This Row],[المستهدف]]</f>
        <v>0</v>
      </c>
      <c r="F9" s="5">
        <f>TypesTable[[#This Row],[المتبقى]]/8</f>
        <v>20.25</v>
      </c>
      <c r="G9" s="5">
        <f>TypesTable[[#This Row],[المستهدف - الأسبوعي]]/6</f>
        <v>3.375</v>
      </c>
    </row>
    <row r="10" spans="1:7" ht="20.100000000000001" customHeight="1" x14ac:dyDescent="0.25">
      <c r="A10" s="3" t="s">
        <v>13</v>
      </c>
      <c r="B10" s="21">
        <v>434</v>
      </c>
      <c r="C10" s="4">
        <v>7</v>
      </c>
      <c r="D10" s="4">
        <f>TypesTable[[#This Row],[المستهدف]]-TypesTable[[#This Row],[ المنفذ]]</f>
        <v>427</v>
      </c>
      <c r="E10" s="28">
        <f>TypesTable[[#This Row],[ المنفذ]]/TypesTable[[#This Row],[المستهدف]]</f>
        <v>1.6129032258064516E-2</v>
      </c>
      <c r="F10" s="5">
        <f>TypesTable[[#This Row],[المتبقى]]/8</f>
        <v>53.375</v>
      </c>
      <c r="G10" s="5">
        <f>TypesTable[[#This Row],[المستهدف - الأسبوعي]]/6</f>
        <v>8.8958333333333339</v>
      </c>
    </row>
    <row r="11" spans="1:7" ht="20.100000000000001" customHeight="1" x14ac:dyDescent="0.25">
      <c r="A11" s="3" t="s">
        <v>14</v>
      </c>
      <c r="B11" s="21">
        <v>369</v>
      </c>
      <c r="C11" s="4">
        <v>14</v>
      </c>
      <c r="D11" s="4">
        <f>TypesTable[[#This Row],[المستهدف]]-TypesTable[[#This Row],[ المنفذ]]</f>
        <v>355</v>
      </c>
      <c r="E11" s="28">
        <f>TypesTable[[#This Row],[ المنفذ]]/TypesTable[[#This Row],[المستهدف]]</f>
        <v>3.7940379403794036E-2</v>
      </c>
      <c r="F11" s="5">
        <f>TypesTable[[#This Row],[المتبقى]]/8</f>
        <v>44.375</v>
      </c>
      <c r="G11" s="5">
        <f>TypesTable[[#This Row],[المستهدف - الأسبوعي]]/6</f>
        <v>7.395833333333333</v>
      </c>
    </row>
    <row r="12" spans="1:7" ht="20.100000000000001" customHeight="1" x14ac:dyDescent="0.25">
      <c r="A12" s="3" t="s">
        <v>15</v>
      </c>
      <c r="B12" s="21">
        <v>281</v>
      </c>
      <c r="C12" s="4">
        <v>10</v>
      </c>
      <c r="D12" s="4">
        <f>TypesTable[[#This Row],[المستهدف]]-TypesTable[[#This Row],[ المنفذ]]</f>
        <v>271</v>
      </c>
      <c r="E12" s="28">
        <f>TypesTable[[#This Row],[ المنفذ]]/TypesTable[[#This Row],[المستهدف]]</f>
        <v>3.5587188612099648E-2</v>
      </c>
      <c r="F12" s="5">
        <f>TypesTable[[#This Row],[المتبقى]]/8</f>
        <v>33.875</v>
      </c>
      <c r="G12" s="5">
        <f>TypesTable[[#This Row],[المستهدف - الأسبوعي]]/6</f>
        <v>5.645833333333333</v>
      </c>
    </row>
    <row r="13" spans="1:7" ht="20.100000000000001" customHeight="1" x14ac:dyDescent="0.25">
      <c r="A13" s="3" t="s">
        <v>16</v>
      </c>
      <c r="B13" s="21">
        <v>299</v>
      </c>
      <c r="C13" s="4">
        <v>11</v>
      </c>
      <c r="D13" s="4">
        <f>TypesTable[[#This Row],[المستهدف]]-TypesTable[[#This Row],[ المنفذ]]</f>
        <v>288</v>
      </c>
      <c r="E13" s="28">
        <f>TypesTable[[#This Row],[ المنفذ]]/TypesTable[[#This Row],[المستهدف]]</f>
        <v>3.678929765886288E-2</v>
      </c>
      <c r="F13" s="5">
        <f>TypesTable[[#This Row],[المتبقى]]/8</f>
        <v>36</v>
      </c>
      <c r="G13" s="5">
        <f>TypesTable[[#This Row],[المستهدف - الأسبوعي]]/6</f>
        <v>6</v>
      </c>
    </row>
    <row r="14" spans="1:7" ht="20.100000000000001" customHeight="1" x14ac:dyDescent="0.25">
      <c r="A14" s="6" t="s">
        <v>17</v>
      </c>
      <c r="B14" s="7">
        <f>SUBTOTAL(109,B3:B13)</f>
        <v>3796</v>
      </c>
      <c r="C14" s="7">
        <f>SUBTOTAL(109,C3:C13)</f>
        <v>148</v>
      </c>
      <c r="D14" s="7">
        <f>TypesTable[[#This Row],[المستهدف]]-TypesTable[[#This Row],[ المنفذ]]</f>
        <v>3648</v>
      </c>
      <c r="E14" s="29">
        <f>TypesTable[[#This Row],[ المنفذ]]/TypesTable[[#This Row],[المستهدف]]</f>
        <v>3.8988408851422553E-2</v>
      </c>
      <c r="F14" s="8">
        <f>TypesTable[[#This Row],[المتبقى]]/8</f>
        <v>456</v>
      </c>
      <c r="G14" s="8">
        <f>TypesTable[[#This Row],[المستهدف - الأسبوعي]]/6</f>
        <v>76</v>
      </c>
    </row>
  </sheetData>
  <mergeCells count="1">
    <mergeCell ref="A1:G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rightToLeft="1" tabSelected="1" workbookViewId="0">
      <selection activeCell="F9" sqref="F9"/>
    </sheetView>
  </sheetViews>
  <sheetFormatPr defaultColWidth="9" defaultRowHeight="24.95" customHeight="1" x14ac:dyDescent="0.25"/>
  <cols>
    <col min="1" max="1" width="30.28515625" style="1" bestFit="1" customWidth="1"/>
    <col min="2" max="2" width="11.28515625" style="1" bestFit="1" customWidth="1"/>
    <col min="3" max="3" width="8.140625" style="1" bestFit="1" customWidth="1"/>
    <col min="4" max="4" width="8.42578125" style="1" bestFit="1" customWidth="1"/>
    <col min="5" max="5" width="11.5703125" style="1" bestFit="1" customWidth="1"/>
    <col min="6" max="6" width="23.85546875" style="1" bestFit="1" customWidth="1"/>
    <col min="7" max="7" width="19" style="1" bestFit="1" customWidth="1"/>
    <col min="8" max="16384" width="9" style="1"/>
  </cols>
  <sheetData>
    <row r="1" spans="1:7" ht="24.95" customHeight="1" x14ac:dyDescent="0.25">
      <c r="A1" s="25" t="s">
        <v>35</v>
      </c>
      <c r="B1" s="25"/>
      <c r="C1" s="25"/>
      <c r="D1" s="25"/>
      <c r="E1" s="25"/>
      <c r="F1" s="25"/>
      <c r="G1" s="25"/>
    </row>
    <row r="2" spans="1:7" s="2" customFormat="1" ht="24.95" customHeight="1" x14ac:dyDescent="0.25">
      <c r="A2" s="13" t="s">
        <v>20</v>
      </c>
      <c r="B2" s="13" t="s">
        <v>1</v>
      </c>
      <c r="C2" s="13" t="s">
        <v>18</v>
      </c>
      <c r="D2" s="13" t="s">
        <v>2</v>
      </c>
      <c r="E2" s="13" t="s">
        <v>3</v>
      </c>
      <c r="F2" s="13" t="s">
        <v>4</v>
      </c>
      <c r="G2" s="13" t="s">
        <v>5</v>
      </c>
    </row>
    <row r="3" spans="1:7" s="16" customFormat="1" ht="24.95" customHeight="1" x14ac:dyDescent="0.25">
      <c r="A3" s="14" t="s">
        <v>21</v>
      </c>
      <c r="B3" s="14">
        <f>120+'[1]شمال الدقهلية'!$B$3</f>
        <v>193</v>
      </c>
      <c r="C3" s="14">
        <v>101</v>
      </c>
      <c r="D3" s="14">
        <f>TypesTable3[[#This Row],[المستهدف]]-TypesTable3[[#This Row],[ المنفذ]]</f>
        <v>92</v>
      </c>
      <c r="E3" s="30">
        <f>(TypesTable3[[#This Row],[ المنفذ]]/TypesTable3[[#This Row],[المستهدف]])</f>
        <v>0.52331606217616577</v>
      </c>
      <c r="F3" s="15">
        <f>TypesTable3[[#This Row],[المتبقى]]/8</f>
        <v>11.5</v>
      </c>
      <c r="G3" s="15">
        <f>TypesTable3[[#This Row],[المستهدف - الأسبوعي]]/6</f>
        <v>1.9166666666666667</v>
      </c>
    </row>
    <row r="4" spans="1:7" s="16" customFormat="1" ht="24.95" customHeight="1" x14ac:dyDescent="0.25">
      <c r="A4" s="14" t="s">
        <v>22</v>
      </c>
      <c r="B4" s="14">
        <f>194+'[1]شمال الدقهلية'!$B$4</f>
        <v>324</v>
      </c>
      <c r="C4" s="14">
        <v>184</v>
      </c>
      <c r="D4" s="14">
        <f>TypesTable3[[#This Row],[المستهدف]]-TypesTable3[[#This Row],[ المنفذ]]</f>
        <v>140</v>
      </c>
      <c r="E4" s="30">
        <f>(TypesTable3[[#This Row],[ المنفذ]]/TypesTable3[[#This Row],[المستهدف]])</f>
        <v>0.5679012345679012</v>
      </c>
      <c r="F4" s="15">
        <f>TypesTable3[[#This Row],[المتبقى]]/8</f>
        <v>17.5</v>
      </c>
      <c r="G4" s="15">
        <f>TypesTable3[[#This Row],[المستهدف - الأسبوعي]]/6</f>
        <v>2.9166666666666665</v>
      </c>
    </row>
    <row r="5" spans="1:7" s="16" customFormat="1" ht="24.95" customHeight="1" x14ac:dyDescent="0.25">
      <c r="A5" s="14" t="s">
        <v>23</v>
      </c>
      <c r="B5" s="14">
        <f>179+'[1]شمال الدقهلية'!$B$5</f>
        <v>271</v>
      </c>
      <c r="C5" s="14">
        <f>213+'[1]شمال الدقهلية'!$C$5</f>
        <v>216</v>
      </c>
      <c r="D5" s="14">
        <f>TypesTable3[[#This Row],[المستهدف]]-TypesTable3[[#This Row],[ المنفذ]]</f>
        <v>55</v>
      </c>
      <c r="E5" s="30">
        <f>(TypesTable3[[#This Row],[ المنفذ]]/TypesTable3[[#This Row],[المستهدف]])</f>
        <v>0.79704797047970477</v>
      </c>
      <c r="F5" s="15">
        <f>TypesTable3[[#This Row],[المتبقى]]/8</f>
        <v>6.875</v>
      </c>
      <c r="G5" s="15">
        <f>TypesTable3[[#This Row],[المستهدف - الأسبوعي]]/6</f>
        <v>1.1458333333333333</v>
      </c>
    </row>
    <row r="6" spans="1:7" s="16" customFormat="1" ht="24.95" customHeight="1" x14ac:dyDescent="0.25">
      <c r="A6" s="14" t="s">
        <v>24</v>
      </c>
      <c r="B6" s="14">
        <f>148+'[1]شمال الدقهلية'!$B$6</f>
        <v>240</v>
      </c>
      <c r="C6" s="14">
        <v>60</v>
      </c>
      <c r="D6" s="14">
        <f>TypesTable3[[#This Row],[المستهدف]]-TypesTable3[[#This Row],[ المنفذ]]</f>
        <v>180</v>
      </c>
      <c r="E6" s="30">
        <f>(TypesTable3[[#This Row],[ المنفذ]]/TypesTable3[[#This Row],[المستهدف]])</f>
        <v>0.25</v>
      </c>
      <c r="F6" s="15">
        <f>TypesTable3[[#This Row],[المتبقى]]/8</f>
        <v>22.5</v>
      </c>
      <c r="G6" s="15">
        <f>TypesTable3[[#This Row],[المستهدف - الأسبوعي]]/6</f>
        <v>3.75</v>
      </c>
    </row>
    <row r="7" spans="1:7" s="16" customFormat="1" ht="24.95" customHeight="1" x14ac:dyDescent="0.25">
      <c r="A7" s="14" t="s">
        <v>25</v>
      </c>
      <c r="B7" s="14">
        <f>236+'[1]شمال الدقهلية'!$B$7</f>
        <v>421</v>
      </c>
      <c r="C7" s="14">
        <v>176</v>
      </c>
      <c r="D7" s="14">
        <f>TypesTable3[[#This Row],[المستهدف]]-TypesTable3[[#This Row],[ المنفذ]]</f>
        <v>245</v>
      </c>
      <c r="E7" s="30">
        <f>(TypesTable3[[#This Row],[ المنفذ]]/TypesTable3[[#This Row],[المستهدف]])</f>
        <v>0.41805225653206651</v>
      </c>
      <c r="F7" s="15">
        <f>TypesTable3[[#This Row],[المتبقى]]/8</f>
        <v>30.625</v>
      </c>
      <c r="G7" s="15">
        <f>TypesTable3[[#This Row],[المستهدف - الأسبوعي]]/6</f>
        <v>5.104166666666667</v>
      </c>
    </row>
    <row r="8" spans="1:7" s="16" customFormat="1" ht="24.95" customHeight="1" x14ac:dyDescent="0.25">
      <c r="A8" s="14" t="s">
        <v>26</v>
      </c>
      <c r="B8" s="14">
        <f>157+'[1]شمال الدقهلية'!$B$8</f>
        <v>223</v>
      </c>
      <c r="C8" s="14">
        <v>137</v>
      </c>
      <c r="D8" s="14">
        <f>TypesTable3[[#This Row],[المستهدف]]-TypesTable3[[#This Row],[ المنفذ]]</f>
        <v>86</v>
      </c>
      <c r="E8" s="30">
        <f>(TypesTable3[[#This Row],[ المنفذ]]/TypesTable3[[#This Row],[المستهدف]])</f>
        <v>0.61434977578475336</v>
      </c>
      <c r="F8" s="15">
        <f>TypesTable3[[#This Row],[المتبقى]]/8</f>
        <v>10.75</v>
      </c>
      <c r="G8" s="15">
        <f>TypesTable3[[#This Row],[المستهدف - الأسبوعي]]/6</f>
        <v>1.7916666666666667</v>
      </c>
    </row>
    <row r="9" spans="1:7" s="16" customFormat="1" ht="24.95" customHeight="1" x14ac:dyDescent="0.25">
      <c r="A9" s="14" t="s">
        <v>27</v>
      </c>
      <c r="B9" s="14">
        <f>274+'[1]شمال الدقهلية'!$B$9</f>
        <v>364</v>
      </c>
      <c r="C9" s="14">
        <v>104</v>
      </c>
      <c r="D9" s="14">
        <f>TypesTable3[[#This Row],[المستهدف]]-TypesTable3[[#This Row],[ المنفذ]]</f>
        <v>260</v>
      </c>
      <c r="E9" s="30">
        <f>(TypesTable3[[#This Row],[ المنفذ]]/TypesTable3[[#This Row],[المستهدف]])</f>
        <v>0.2857142857142857</v>
      </c>
      <c r="F9" s="15">
        <f>TypesTable3[[#This Row],[المتبقى]]/8</f>
        <v>32.5</v>
      </c>
      <c r="G9" s="15">
        <f>TypesTable3[[#This Row],[المستهدف - الأسبوعي]]/6</f>
        <v>5.416666666666667</v>
      </c>
    </row>
    <row r="10" spans="1:7" s="16" customFormat="1" ht="24.95" customHeight="1" x14ac:dyDescent="0.25">
      <c r="A10" s="14" t="s">
        <v>28</v>
      </c>
      <c r="B10" s="14">
        <f>178+'[1]شمال الدقهلية'!$B$10</f>
        <v>254</v>
      </c>
      <c r="C10" s="14">
        <v>174</v>
      </c>
      <c r="D10" s="14">
        <f>TypesTable3[[#This Row],[المستهدف]]-TypesTable3[[#This Row],[ المنفذ]]</f>
        <v>80</v>
      </c>
      <c r="E10" s="30">
        <f>(TypesTable3[[#This Row],[ المنفذ]]/TypesTable3[[#This Row],[المستهدف]])</f>
        <v>0.68503937007874016</v>
      </c>
      <c r="F10" s="15">
        <f>TypesTable3[[#This Row],[المتبقى]]/8</f>
        <v>10</v>
      </c>
      <c r="G10" s="15">
        <f>TypesTable3[[#This Row],[المستهدف - الأسبوعي]]/6</f>
        <v>1.6666666666666667</v>
      </c>
    </row>
    <row r="11" spans="1:7" s="16" customFormat="1" ht="24.95" customHeight="1" x14ac:dyDescent="0.25">
      <c r="A11" s="14" t="s">
        <v>29</v>
      </c>
      <c r="B11" s="14">
        <f>221+'[1]شمال الدقهلية'!$B$11</f>
        <v>308</v>
      </c>
      <c r="C11" s="14">
        <v>207</v>
      </c>
      <c r="D11" s="14">
        <f>TypesTable3[[#This Row],[المستهدف]]-TypesTable3[[#This Row],[ المنفذ]]</f>
        <v>101</v>
      </c>
      <c r="E11" s="30">
        <f>(TypesTable3[[#This Row],[ المنفذ]]/TypesTable3[[#This Row],[المستهدف]])</f>
        <v>0.67207792207792205</v>
      </c>
      <c r="F11" s="15">
        <f>TypesTable3[[#This Row],[المتبقى]]/8</f>
        <v>12.625</v>
      </c>
      <c r="G11" s="15">
        <f>TypesTable3[[#This Row],[المستهدف - الأسبوعي]]/6</f>
        <v>2.1041666666666665</v>
      </c>
    </row>
    <row r="12" spans="1:7" s="16" customFormat="1" ht="24.95" customHeight="1" x14ac:dyDescent="0.25">
      <c r="A12" s="14" t="s">
        <v>30</v>
      </c>
      <c r="B12" s="14">
        <f>172+'[1]شمال الدقهلية'!$B$12</f>
        <v>230</v>
      </c>
      <c r="C12" s="14">
        <v>171</v>
      </c>
      <c r="D12" s="14">
        <f>TypesTable3[[#This Row],[المستهدف]]-TypesTable3[[#This Row],[ المنفذ]]</f>
        <v>59</v>
      </c>
      <c r="E12" s="30">
        <f>(TypesTable3[[#This Row],[ المنفذ]]/TypesTable3[[#This Row],[المستهدف]])</f>
        <v>0.74347826086956526</v>
      </c>
      <c r="F12" s="15">
        <f>TypesTable3[[#This Row],[المتبقى]]/8</f>
        <v>7.375</v>
      </c>
      <c r="G12" s="15">
        <f>TypesTable3[[#This Row],[المستهدف - الأسبوعي]]/6</f>
        <v>1.2291666666666667</v>
      </c>
    </row>
    <row r="13" spans="1:7" s="16" customFormat="1" ht="24.95" customHeight="1" x14ac:dyDescent="0.25">
      <c r="A13" s="14" t="s">
        <v>31</v>
      </c>
      <c r="B13" s="14">
        <f>208+'[1]شمال الدقهلية'!$B$13</f>
        <v>260</v>
      </c>
      <c r="C13" s="14">
        <v>163</v>
      </c>
      <c r="D13" s="14">
        <f>TypesTable3[[#This Row],[المستهدف]]-TypesTable3[[#This Row],[ المنفذ]]</f>
        <v>97</v>
      </c>
      <c r="E13" s="30">
        <f>(TypesTable3[[#This Row],[ المنفذ]]/TypesTable3[[#This Row],[المستهدف]])</f>
        <v>0.62692307692307692</v>
      </c>
      <c r="F13" s="15">
        <f>TypesTable3[[#This Row],[المتبقى]]/8</f>
        <v>12.125</v>
      </c>
      <c r="G13" s="15">
        <f>TypesTable3[[#This Row],[المستهدف - الأسبوعي]]/6</f>
        <v>2.0208333333333335</v>
      </c>
    </row>
    <row r="14" spans="1:7" s="16" customFormat="1" ht="24.95" customHeight="1" x14ac:dyDescent="0.25">
      <c r="A14" s="14" t="s">
        <v>32</v>
      </c>
      <c r="B14" s="14">
        <f>247+'[1]شمال الدقهلية'!$B$14</f>
        <v>296</v>
      </c>
      <c r="C14" s="14">
        <v>161</v>
      </c>
      <c r="D14" s="14">
        <f>TypesTable3[[#This Row],[المستهدف]]-TypesTable3[[#This Row],[ المنفذ]]</f>
        <v>135</v>
      </c>
      <c r="E14" s="30">
        <f>(TypesTable3[[#This Row],[ المنفذ]]/TypesTable3[[#This Row],[المستهدف]])</f>
        <v>0.54391891891891897</v>
      </c>
      <c r="F14" s="15">
        <f>TypesTable3[[#This Row],[المتبقى]]/8</f>
        <v>16.875</v>
      </c>
      <c r="G14" s="15">
        <f>TypesTable3[[#This Row],[المستهدف - الأسبوعي]]/6</f>
        <v>2.8125</v>
      </c>
    </row>
    <row r="15" spans="1:7" s="16" customFormat="1" ht="24.95" customHeight="1" x14ac:dyDescent="0.25">
      <c r="A15" s="14" t="s">
        <v>33</v>
      </c>
      <c r="B15" s="14">
        <f>72+'[1]شمال الدقهلية'!$B$15</f>
        <v>119</v>
      </c>
      <c r="C15" s="14">
        <v>82</v>
      </c>
      <c r="D15" s="14">
        <f>TypesTable3[[#This Row],[المستهدف]]-TypesTable3[[#This Row],[ المنفذ]]</f>
        <v>37</v>
      </c>
      <c r="E15" s="30">
        <f>(TypesTable3[[#This Row],[ المنفذ]]/TypesTable3[[#This Row],[المستهدف]])</f>
        <v>0.68907563025210083</v>
      </c>
      <c r="F15" s="15">
        <f>TypesTable3[[#This Row],[المتبقى]]/8</f>
        <v>4.625</v>
      </c>
      <c r="G15" s="15">
        <f>TypesTable3[[#This Row],[المستهدف - الأسبوعي]]/6</f>
        <v>0.77083333333333337</v>
      </c>
    </row>
    <row r="16" spans="1:7" s="16" customFormat="1" ht="24.95" customHeight="1" x14ac:dyDescent="0.25">
      <c r="A16" s="14" t="s">
        <v>34</v>
      </c>
      <c r="B16" s="14">
        <f>231+'[1]شمال الدقهلية'!$B$16</f>
        <v>297</v>
      </c>
      <c r="C16" s="14">
        <v>129</v>
      </c>
      <c r="D16" s="14">
        <f>TypesTable3[[#This Row],[المستهدف]]-TypesTable3[[#This Row],[ المنفذ]]</f>
        <v>168</v>
      </c>
      <c r="E16" s="30">
        <f>(TypesTable3[[#This Row],[ المنفذ]]/TypesTable3[[#This Row],[المستهدف]])</f>
        <v>0.43434343434343436</v>
      </c>
      <c r="F16" s="15">
        <f>TypesTable3[[#This Row],[المتبقى]]/8</f>
        <v>21</v>
      </c>
      <c r="G16" s="15">
        <f>TypesTable3[[#This Row],[المستهدف - الأسبوعي]]/6</f>
        <v>3.5</v>
      </c>
    </row>
    <row r="17" spans="1:7" ht="24.95" customHeight="1" x14ac:dyDescent="0.25">
      <c r="A17" s="7" t="s">
        <v>17</v>
      </c>
      <c r="B17" s="7">
        <f>SUBTOTAL(109,B3:B16)</f>
        <v>3800</v>
      </c>
      <c r="C17" s="7">
        <f>SUBTOTAL(109,C3:C16)</f>
        <v>2065</v>
      </c>
      <c r="D17" s="7">
        <f>TypesTable3[[#This Row],[المستهدف]]-TypesTable3[[#This Row],[ المنفذ]]</f>
        <v>1735</v>
      </c>
      <c r="E17" s="29">
        <f>(TypesTable3[[#This Row],[ المنفذ]]/TypesTable3[[#This Row],[المستهدف]])</f>
        <v>0.54342105263157892</v>
      </c>
      <c r="F17" s="7">
        <f>TypesTable3[[#This Row],[المتبقى]]/8</f>
        <v>216.875</v>
      </c>
      <c r="G17" s="8">
        <f>TypesTable3[[#This Row],[المستهدف - الأسبوعي]]/6</f>
        <v>36.145833333333336</v>
      </c>
    </row>
  </sheetData>
  <mergeCells count="1">
    <mergeCell ref="A1:G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rightToLeft="1" workbookViewId="0">
      <selection activeCell="E3" sqref="E3:E16"/>
    </sheetView>
  </sheetViews>
  <sheetFormatPr defaultColWidth="9" defaultRowHeight="24.95" customHeight="1" x14ac:dyDescent="0.25"/>
  <cols>
    <col min="1" max="1" width="38.42578125" style="9" bestFit="1" customWidth="1"/>
    <col min="2" max="2" width="8.85546875" style="9" bestFit="1" customWidth="1"/>
    <col min="3" max="4" width="8.140625" style="1" bestFit="1" customWidth="1"/>
    <col min="5" max="5" width="9.7109375" style="1" bestFit="1" customWidth="1"/>
    <col min="6" max="6" width="18.42578125" style="1" bestFit="1" customWidth="1"/>
    <col min="7" max="7" width="14.5703125" style="1" bestFit="1" customWidth="1"/>
    <col min="8" max="16384" width="9" style="1"/>
  </cols>
  <sheetData>
    <row r="1" spans="1:7" ht="24.95" customHeight="1" x14ac:dyDescent="0.25">
      <c r="A1" s="25" t="s">
        <v>19</v>
      </c>
      <c r="B1" s="25"/>
      <c r="C1" s="25"/>
      <c r="D1" s="25"/>
      <c r="E1" s="25"/>
      <c r="F1" s="25"/>
      <c r="G1" s="25"/>
    </row>
    <row r="2" spans="1:7" s="2" customFormat="1" ht="24.95" customHeight="1" x14ac:dyDescent="0.25">
      <c r="A2" s="17" t="s">
        <v>36</v>
      </c>
      <c r="B2" s="12" t="s">
        <v>1</v>
      </c>
      <c r="C2" s="12" t="s">
        <v>37</v>
      </c>
      <c r="D2" s="12" t="s">
        <v>2</v>
      </c>
      <c r="E2" s="12" t="s">
        <v>3</v>
      </c>
      <c r="F2" s="12" t="s">
        <v>4</v>
      </c>
      <c r="G2" s="12" t="s">
        <v>5</v>
      </c>
    </row>
    <row r="3" spans="1:7" ht="24.95" customHeight="1" x14ac:dyDescent="0.25">
      <c r="A3" s="18" t="s">
        <v>38</v>
      </c>
      <c r="B3" s="18">
        <f>421+'[1]جنوب الدقهلية'!$B$3</f>
        <v>707</v>
      </c>
      <c r="C3" s="18">
        <f>345+'[1]جنوب الدقهلية'!$C$3</f>
        <v>358</v>
      </c>
      <c r="D3" s="18">
        <f>TypesTable4[[#This Row],[المستهدف]]-TypesTable4[[#This Row],[المنفذ]]</f>
        <v>349</v>
      </c>
      <c r="E3" s="31">
        <f>TypesTable4[[#This Row],[المنفذ]]/TypesTable4[[#This Row],[المستهدف]]</f>
        <v>0.50636492220650642</v>
      </c>
      <c r="F3" s="19">
        <f>TypesTable4[[#This Row],[المتبقى]]/8</f>
        <v>43.625</v>
      </c>
      <c r="G3" s="19">
        <f>TypesTable4[[#This Row],[المستهدف - الأسبوعي]]/6</f>
        <v>7.270833333333333</v>
      </c>
    </row>
    <row r="4" spans="1:7" ht="24.95" customHeight="1" x14ac:dyDescent="0.25">
      <c r="A4" s="18" t="s">
        <v>39</v>
      </c>
      <c r="B4" s="18">
        <f>597+'[1]جنوب الدقهلية'!$B$4</f>
        <v>880</v>
      </c>
      <c r="C4" s="18">
        <v>73</v>
      </c>
      <c r="D4" s="18">
        <f>TypesTable4[[#This Row],[المستهدف]]-TypesTable4[[#This Row],[المنفذ]]</f>
        <v>807</v>
      </c>
      <c r="E4" s="31">
        <f>TypesTable4[[#This Row],[المنفذ]]/TypesTable4[[#This Row],[المستهدف]]</f>
        <v>8.2954545454545461E-2</v>
      </c>
      <c r="F4" s="19">
        <f>TypesTable4[[#This Row],[المتبقى]]/8</f>
        <v>100.875</v>
      </c>
      <c r="G4" s="19">
        <f>TypesTable4[[#This Row],[المستهدف - الأسبوعي]]/6</f>
        <v>16.8125</v>
      </c>
    </row>
    <row r="5" spans="1:7" ht="24.95" customHeight="1" x14ac:dyDescent="0.25">
      <c r="A5" s="18" t="s">
        <v>40</v>
      </c>
      <c r="B5" s="18">
        <f>365+'[1]جنوب الدقهلية'!$B$5</f>
        <v>637</v>
      </c>
      <c r="C5" s="18">
        <f>77+'[1]جنوب الدقهلية'!$C$5</f>
        <v>80</v>
      </c>
      <c r="D5" s="18">
        <f>TypesTable4[[#This Row],[المستهدف]]-TypesTable4[[#This Row],[المنفذ]]</f>
        <v>557</v>
      </c>
      <c r="E5" s="31">
        <f>TypesTable4[[#This Row],[المنفذ]]/TypesTable4[[#This Row],[المستهدف]]</f>
        <v>0.12558869701726844</v>
      </c>
      <c r="F5" s="19">
        <f>TypesTable4[[#This Row],[المتبقى]]/8</f>
        <v>69.625</v>
      </c>
      <c r="G5" s="19">
        <f>TypesTable4[[#This Row],[المستهدف - الأسبوعي]]/6</f>
        <v>11.604166666666666</v>
      </c>
    </row>
    <row r="6" spans="1:7" ht="24.95" customHeight="1" x14ac:dyDescent="0.25">
      <c r="A6" s="18" t="s">
        <v>41</v>
      </c>
      <c r="B6" s="18">
        <f>236+'[1]جنوب الدقهلية'!$B$6</f>
        <v>371</v>
      </c>
      <c r="C6" s="18">
        <v>142</v>
      </c>
      <c r="D6" s="18">
        <f>TypesTable4[[#This Row],[المستهدف]]-TypesTable4[[#This Row],[المنفذ]]</f>
        <v>229</v>
      </c>
      <c r="E6" s="31">
        <f>TypesTable4[[#This Row],[المنفذ]]/TypesTable4[[#This Row],[المستهدف]]</f>
        <v>0.38274932614555257</v>
      </c>
      <c r="F6" s="19">
        <f>TypesTable4[[#This Row],[المتبقى]]/8</f>
        <v>28.625</v>
      </c>
      <c r="G6" s="19">
        <f>TypesTable4[[#This Row],[المستهدف - الأسبوعي]]/6</f>
        <v>4.770833333333333</v>
      </c>
    </row>
    <row r="7" spans="1:7" ht="24.95" customHeight="1" x14ac:dyDescent="0.25">
      <c r="A7" s="18" t="s">
        <v>42</v>
      </c>
      <c r="B7" s="18">
        <f>305+'[1]جنوب الدقهلية'!$B$7</f>
        <v>497</v>
      </c>
      <c r="C7" s="18">
        <v>95</v>
      </c>
      <c r="D7" s="18">
        <f>TypesTable4[[#This Row],[المستهدف]]-TypesTable4[[#This Row],[المنفذ]]</f>
        <v>402</v>
      </c>
      <c r="E7" s="31">
        <f>TypesTable4[[#This Row],[المنفذ]]/TypesTable4[[#This Row],[المستهدف]]</f>
        <v>0.19114688128772636</v>
      </c>
      <c r="F7" s="19">
        <f>TypesTable4[[#This Row],[المتبقى]]/8</f>
        <v>50.25</v>
      </c>
      <c r="G7" s="19">
        <f>TypesTable4[[#This Row],[المستهدف - الأسبوعي]]/6</f>
        <v>8.375</v>
      </c>
    </row>
    <row r="8" spans="1:7" ht="24.95" customHeight="1" x14ac:dyDescent="0.25">
      <c r="A8" s="18" t="s">
        <v>43</v>
      </c>
      <c r="B8" s="18">
        <f>210+'[1]جنوب الدقهلية'!$B$8</f>
        <v>387</v>
      </c>
      <c r="C8" s="18">
        <v>100</v>
      </c>
      <c r="D8" s="18">
        <f>TypesTable4[[#This Row],[المستهدف]]-TypesTable4[[#This Row],[المنفذ]]</f>
        <v>287</v>
      </c>
      <c r="E8" s="31">
        <f>TypesTable4[[#This Row],[المنفذ]]/TypesTable4[[#This Row],[المستهدف]]</f>
        <v>0.25839793281653745</v>
      </c>
      <c r="F8" s="19">
        <f>TypesTable4[[#This Row],[المتبقى]]/8</f>
        <v>35.875</v>
      </c>
      <c r="G8" s="19">
        <f>TypesTable4[[#This Row],[المستهدف - الأسبوعي]]/6</f>
        <v>5.979166666666667</v>
      </c>
    </row>
    <row r="9" spans="1:7" ht="24.95" customHeight="1" x14ac:dyDescent="0.25">
      <c r="A9" s="18" t="s">
        <v>44</v>
      </c>
      <c r="B9" s="18">
        <f>383+'[1]جنوب الدقهلية'!$B$9</f>
        <v>760</v>
      </c>
      <c r="C9" s="18">
        <v>251</v>
      </c>
      <c r="D9" s="18">
        <f>TypesTable4[[#This Row],[المستهدف]]-TypesTable4[[#This Row],[المنفذ]]</f>
        <v>509</v>
      </c>
      <c r="E9" s="31">
        <f>TypesTable4[[#This Row],[المنفذ]]/TypesTable4[[#This Row],[المستهدف]]</f>
        <v>0.33026315789473687</v>
      </c>
      <c r="F9" s="19">
        <f>TypesTable4[[#This Row],[المتبقى]]/8</f>
        <v>63.625</v>
      </c>
      <c r="G9" s="19">
        <f>TypesTable4[[#This Row],[المستهدف - الأسبوعي]]/6</f>
        <v>10.604166666666666</v>
      </c>
    </row>
    <row r="10" spans="1:7" ht="24.95" customHeight="1" x14ac:dyDescent="0.25">
      <c r="A10" s="18" t="s">
        <v>45</v>
      </c>
      <c r="B10" s="18">
        <f>87+'[1]جنوب الدقهلية'!$B$10</f>
        <v>139</v>
      </c>
      <c r="C10" s="18">
        <v>71</v>
      </c>
      <c r="D10" s="18">
        <f>TypesTable4[[#This Row],[المستهدف]]-TypesTable4[[#This Row],[المنفذ]]</f>
        <v>68</v>
      </c>
      <c r="E10" s="31">
        <f>TypesTable4[[#This Row],[المنفذ]]/TypesTable4[[#This Row],[المستهدف]]</f>
        <v>0.51079136690647486</v>
      </c>
      <c r="F10" s="19">
        <f>TypesTable4[[#This Row],[المتبقى]]/8</f>
        <v>8.5</v>
      </c>
      <c r="G10" s="19">
        <f>TypesTable4[[#This Row],[المستهدف - الأسبوعي]]/6</f>
        <v>1.4166666666666667</v>
      </c>
    </row>
    <row r="11" spans="1:7" ht="24.95" customHeight="1" x14ac:dyDescent="0.25">
      <c r="A11" s="18" t="s">
        <v>46</v>
      </c>
      <c r="B11" s="18">
        <f>434+'[1]جنوب الدقهلية'!$B$11</f>
        <v>571</v>
      </c>
      <c r="C11" s="18">
        <v>53</v>
      </c>
      <c r="D11" s="18">
        <f>TypesTable4[[#This Row],[المستهدف]]-TypesTable4[[#This Row],[المنفذ]]</f>
        <v>518</v>
      </c>
      <c r="E11" s="31">
        <f>TypesTable4[[#This Row],[المنفذ]]/TypesTable4[[#This Row],[المستهدف]]</f>
        <v>9.2819614711033269E-2</v>
      </c>
      <c r="F11" s="19">
        <f>TypesTable4[[#This Row],[المتبقى]]/8</f>
        <v>64.75</v>
      </c>
      <c r="G11" s="19">
        <f>TypesTable4[[#This Row],[المستهدف - الأسبوعي]]/6</f>
        <v>10.791666666666666</v>
      </c>
    </row>
    <row r="12" spans="1:7" ht="24.95" customHeight="1" x14ac:dyDescent="0.25">
      <c r="A12" s="18" t="s">
        <v>47</v>
      </c>
      <c r="B12" s="18">
        <f>203+'[1]جنوب الدقهلية'!$B$12</f>
        <v>275</v>
      </c>
      <c r="C12" s="18">
        <v>67</v>
      </c>
      <c r="D12" s="18">
        <f>TypesTable4[[#This Row],[المستهدف]]-TypesTable4[[#This Row],[المنفذ]]</f>
        <v>208</v>
      </c>
      <c r="E12" s="31">
        <f>TypesTable4[[#This Row],[المنفذ]]/TypesTable4[[#This Row],[المستهدف]]</f>
        <v>0.24363636363636362</v>
      </c>
      <c r="F12" s="19">
        <f>TypesTable4[[#This Row],[المتبقى]]/8</f>
        <v>26</v>
      </c>
      <c r="G12" s="19">
        <f>TypesTable4[[#This Row],[المستهدف - الأسبوعي]]/6</f>
        <v>4.333333333333333</v>
      </c>
    </row>
    <row r="13" spans="1:7" ht="24.95" customHeight="1" x14ac:dyDescent="0.25">
      <c r="A13" s="18" t="s">
        <v>48</v>
      </c>
      <c r="B13" s="18">
        <f>119+'[1]جنوب الدقهلية'!$B$13</f>
        <v>339</v>
      </c>
      <c r="C13" s="18">
        <v>24</v>
      </c>
      <c r="D13" s="18">
        <f>TypesTable4[[#This Row],[المستهدف]]-TypesTable4[[#This Row],[المنفذ]]</f>
        <v>315</v>
      </c>
      <c r="E13" s="31">
        <f>TypesTable4[[#This Row],[المنفذ]]/TypesTable4[[#This Row],[المستهدف]]</f>
        <v>7.0796460176991149E-2</v>
      </c>
      <c r="F13" s="19">
        <f>TypesTable4[[#This Row],[المتبقى]]/8</f>
        <v>39.375</v>
      </c>
      <c r="G13" s="19">
        <f>TypesTable4[[#This Row],[المستهدف - الأسبوعي]]/6</f>
        <v>6.5625</v>
      </c>
    </row>
    <row r="14" spans="1:7" ht="24.95" customHeight="1" x14ac:dyDescent="0.25">
      <c r="A14" s="18" t="s">
        <v>49</v>
      </c>
      <c r="B14" s="18">
        <f>236+'[1]جنوب الدقهلية'!$B$14</f>
        <v>475</v>
      </c>
      <c r="C14" s="18">
        <v>133</v>
      </c>
      <c r="D14" s="18">
        <f>TypesTable4[[#This Row],[المستهدف]]-TypesTable4[[#This Row],[المنفذ]]</f>
        <v>342</v>
      </c>
      <c r="E14" s="31">
        <f>TypesTable4[[#This Row],[المنفذ]]/TypesTable4[[#This Row],[المستهدف]]</f>
        <v>0.28000000000000003</v>
      </c>
      <c r="F14" s="19">
        <f>TypesTable4[[#This Row],[المتبقى]]/8</f>
        <v>42.75</v>
      </c>
      <c r="G14" s="19">
        <f>TypesTable4[[#This Row],[المستهدف - الأسبوعي]]/6</f>
        <v>7.125</v>
      </c>
    </row>
    <row r="15" spans="1:7" ht="24.95" customHeight="1" x14ac:dyDescent="0.25">
      <c r="A15" s="18" t="s">
        <v>50</v>
      </c>
      <c r="B15" s="18">
        <f>179+'[1]جنوب الدقهلية'!$B$15</f>
        <v>345</v>
      </c>
      <c r="C15" s="18">
        <v>83</v>
      </c>
      <c r="D15" s="18">
        <f>TypesTable4[[#This Row],[المستهدف]]-TypesTable4[[#This Row],[المنفذ]]</f>
        <v>262</v>
      </c>
      <c r="E15" s="31">
        <f>TypesTable4[[#This Row],[المنفذ]]/TypesTable4[[#This Row],[المستهدف]]</f>
        <v>0.24057971014492754</v>
      </c>
      <c r="F15" s="19">
        <f>TypesTable4[[#This Row],[المتبقى]]/8</f>
        <v>32.75</v>
      </c>
      <c r="G15" s="19">
        <f>TypesTable4[[#This Row],[المستهدف - الأسبوعي]]/6</f>
        <v>5.458333333333333</v>
      </c>
    </row>
    <row r="16" spans="1:7" ht="24.95" customHeight="1" x14ac:dyDescent="0.25">
      <c r="A16" s="6" t="s">
        <v>51</v>
      </c>
      <c r="B16" s="7">
        <f>SUBTOTAL(109,B3:B15)</f>
        <v>6383</v>
      </c>
      <c r="C16" s="7">
        <f>SUBTOTAL(109,C3:C15)</f>
        <v>1530</v>
      </c>
      <c r="D16" s="7">
        <f>TypesTable4[[#This Row],[المستهدف]]-TypesTable4[[#This Row],[المنفذ]]</f>
        <v>4853</v>
      </c>
      <c r="E16" s="29">
        <f>TypesTable4[[#This Row],[المنفذ]]/TypesTable4[[#This Row],[المستهدف]]</f>
        <v>0.23969920100266331</v>
      </c>
      <c r="F16" s="8">
        <f>TypesTable4[[#This Row],[المتبقى]]/8</f>
        <v>606.625</v>
      </c>
      <c r="G16" s="8">
        <f>TypesTable4[[#This Row],[المستهدف - الأسبوعي]]/6</f>
        <v>101.10416666666667</v>
      </c>
    </row>
  </sheetData>
  <mergeCells count="1">
    <mergeCell ref="A1:G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rightToLeft="1" zoomScaleNormal="100" workbookViewId="0">
      <selection activeCell="E3" sqref="E3:E20"/>
    </sheetView>
  </sheetViews>
  <sheetFormatPr defaultColWidth="9" defaultRowHeight="15" x14ac:dyDescent="0.25"/>
  <cols>
    <col min="1" max="1" width="39.85546875" style="1" customWidth="1"/>
    <col min="2" max="2" width="11.85546875" style="1" bestFit="1" customWidth="1"/>
    <col min="3" max="3" width="17.7109375" style="1" bestFit="1" customWidth="1"/>
    <col min="4" max="4" width="8.7109375" style="1" bestFit="1" customWidth="1"/>
    <col min="5" max="5" width="12.28515625" style="1" bestFit="1" customWidth="1"/>
    <col min="6" max="6" width="25.140625" style="1" bestFit="1" customWidth="1"/>
    <col min="7" max="7" width="19.85546875" style="1" bestFit="1" customWidth="1"/>
    <col min="8" max="16384" width="9" style="1"/>
  </cols>
  <sheetData>
    <row r="1" spans="1:7" ht="33.75" x14ac:dyDescent="0.25">
      <c r="A1" s="26" t="s">
        <v>35</v>
      </c>
      <c r="B1" s="26"/>
      <c r="C1" s="26"/>
      <c r="D1" s="26"/>
      <c r="E1" s="26"/>
      <c r="F1" s="26"/>
      <c r="G1" s="26"/>
    </row>
    <row r="2" spans="1:7" s="2" customFormat="1" ht="18" customHeight="1" x14ac:dyDescent="0.25">
      <c r="A2" s="7" t="s">
        <v>52</v>
      </c>
      <c r="B2" s="7" t="s">
        <v>1</v>
      </c>
      <c r="C2" s="7" t="s">
        <v>37</v>
      </c>
      <c r="D2" s="7" t="s">
        <v>2</v>
      </c>
      <c r="E2" s="7" t="s">
        <v>3</v>
      </c>
      <c r="F2" s="7" t="s">
        <v>4</v>
      </c>
      <c r="G2" s="7" t="s">
        <v>5</v>
      </c>
    </row>
    <row r="3" spans="1:7" ht="30" customHeight="1" x14ac:dyDescent="0.25">
      <c r="A3" s="18" t="s">
        <v>53</v>
      </c>
      <c r="B3" s="18">
        <f>313+'[1]كفر الشيخ'!$B$3</f>
        <v>446</v>
      </c>
      <c r="C3" s="18">
        <v>200</v>
      </c>
      <c r="D3" s="18">
        <f>TypesTable5[[#This Row],[المستهدف]]-TypesTable5[[#This Row],[المنفذ]]</f>
        <v>246</v>
      </c>
      <c r="E3" s="31">
        <f>TypesTable5[[#This Row],[المنفذ]]/TypesTable5[[#This Row],[المستهدف]]</f>
        <v>0.44843049327354262</v>
      </c>
      <c r="F3" s="19">
        <f>TypesTable5[[#This Row],[المتبقى]]/8</f>
        <v>30.75</v>
      </c>
      <c r="G3" s="19">
        <f>TypesTable5[[#This Row],[المستهدف - الأسبوعي]]/6</f>
        <v>5.125</v>
      </c>
    </row>
    <row r="4" spans="1:7" ht="30" customHeight="1" x14ac:dyDescent="0.25">
      <c r="A4" s="18" t="s">
        <v>54</v>
      </c>
      <c r="B4" s="18">
        <f>268+'[1]كفر الشيخ'!$B$4</f>
        <v>357</v>
      </c>
      <c r="C4" s="18">
        <v>118</v>
      </c>
      <c r="D4" s="18">
        <f>TypesTable5[[#This Row],[المستهدف]]-TypesTable5[[#This Row],[المنفذ]]</f>
        <v>239</v>
      </c>
      <c r="E4" s="31">
        <f>TypesTable5[[#This Row],[المنفذ]]/TypesTable5[[#This Row],[المستهدف]]</f>
        <v>0.33053221288515405</v>
      </c>
      <c r="F4" s="19">
        <f>TypesTable5[[#This Row],[المتبقى]]/8</f>
        <v>29.875</v>
      </c>
      <c r="G4" s="19">
        <f>TypesTable5[[#This Row],[المستهدف - الأسبوعي]]/6</f>
        <v>4.979166666666667</v>
      </c>
    </row>
    <row r="5" spans="1:7" ht="30" customHeight="1" x14ac:dyDescent="0.25">
      <c r="A5" s="18" t="s">
        <v>55</v>
      </c>
      <c r="B5" s="18">
        <f>271+'[1]كفر الشيخ'!$B$5</f>
        <v>332</v>
      </c>
      <c r="C5" s="18">
        <f>155+'[1]كفر الشيخ'!$C$5</f>
        <v>162</v>
      </c>
      <c r="D5" s="18">
        <f>TypesTable5[[#This Row],[المستهدف]]-TypesTable5[[#This Row],[المنفذ]]</f>
        <v>170</v>
      </c>
      <c r="E5" s="31">
        <f>TypesTable5[[#This Row],[المنفذ]]/TypesTable5[[#This Row],[المستهدف]]</f>
        <v>0.48795180722891568</v>
      </c>
      <c r="F5" s="19">
        <f>TypesTable5[[#This Row],[المتبقى]]/8</f>
        <v>21.25</v>
      </c>
      <c r="G5" s="19">
        <f>TypesTable5[[#This Row],[المستهدف - الأسبوعي]]/6</f>
        <v>3.5416666666666665</v>
      </c>
    </row>
    <row r="6" spans="1:7" ht="30" customHeight="1" x14ac:dyDescent="0.25">
      <c r="A6" s="18" t="s">
        <v>56</v>
      </c>
      <c r="B6" s="18">
        <f>245+'[1]كفر الشيخ'!$B$6</f>
        <v>313</v>
      </c>
      <c r="C6" s="18">
        <f>150+'[1]كفر الشيخ'!$C$6</f>
        <v>155</v>
      </c>
      <c r="D6" s="18">
        <f>TypesTable5[[#This Row],[المستهدف]]-TypesTable5[[#This Row],[المنفذ]]</f>
        <v>158</v>
      </c>
      <c r="E6" s="31">
        <f>TypesTable5[[#This Row],[المنفذ]]/TypesTable5[[#This Row],[المستهدف]]</f>
        <v>0.49520766773162939</v>
      </c>
      <c r="F6" s="19">
        <f>TypesTable5[[#This Row],[المتبقى]]/8</f>
        <v>19.75</v>
      </c>
      <c r="G6" s="19">
        <f>TypesTable5[[#This Row],[المستهدف - الأسبوعي]]/6</f>
        <v>3.2916666666666665</v>
      </c>
    </row>
    <row r="7" spans="1:7" ht="30" customHeight="1" x14ac:dyDescent="0.25">
      <c r="A7" s="18" t="s">
        <v>57</v>
      </c>
      <c r="B7" s="18">
        <f>305+'[1]كفر الشيخ'!$B$7</f>
        <v>389</v>
      </c>
      <c r="C7" s="18">
        <v>115</v>
      </c>
      <c r="D7" s="18">
        <f>TypesTable5[[#This Row],[المستهدف]]-TypesTable5[[#This Row],[المنفذ]]</f>
        <v>274</v>
      </c>
      <c r="E7" s="31">
        <f>TypesTable5[[#This Row],[المنفذ]]/TypesTable5[[#This Row],[المستهدف]]</f>
        <v>0.29562982005141386</v>
      </c>
      <c r="F7" s="19">
        <f>TypesTable5[[#This Row],[المتبقى]]/8</f>
        <v>34.25</v>
      </c>
      <c r="G7" s="19">
        <f>TypesTable5[[#This Row],[المستهدف - الأسبوعي]]/6</f>
        <v>5.708333333333333</v>
      </c>
    </row>
    <row r="8" spans="1:7" ht="30" customHeight="1" x14ac:dyDescent="0.25">
      <c r="A8" s="18" t="s">
        <v>58</v>
      </c>
      <c r="B8" s="18">
        <f>302+'[1]كفر الشيخ'!$B$8</f>
        <v>353</v>
      </c>
      <c r="C8" s="18">
        <v>50</v>
      </c>
      <c r="D8" s="18">
        <f>TypesTable5[[#This Row],[المستهدف]]-TypesTable5[[#This Row],[المنفذ]]</f>
        <v>303</v>
      </c>
      <c r="E8" s="31">
        <f>TypesTable5[[#This Row],[المنفذ]]/TypesTable5[[#This Row],[المستهدف]]</f>
        <v>0.14164305949008499</v>
      </c>
      <c r="F8" s="19">
        <f>TypesTable5[[#This Row],[المتبقى]]/8</f>
        <v>37.875</v>
      </c>
      <c r="G8" s="19">
        <f>TypesTable5[[#This Row],[المستهدف - الأسبوعي]]/6</f>
        <v>6.3125</v>
      </c>
    </row>
    <row r="9" spans="1:7" ht="30" customHeight="1" x14ac:dyDescent="0.25">
      <c r="A9" s="18" t="s">
        <v>59</v>
      </c>
      <c r="B9" s="18">
        <f>324+'[1]كفر الشيخ'!$B$9</f>
        <v>435</v>
      </c>
      <c r="C9" s="18">
        <f>142+'[1]كفر الشيخ'!$C$9</f>
        <v>144</v>
      </c>
      <c r="D9" s="18">
        <f>TypesTable5[[#This Row],[المستهدف]]-TypesTable5[[#This Row],[المنفذ]]</f>
        <v>291</v>
      </c>
      <c r="E9" s="31">
        <f>TypesTable5[[#This Row],[المنفذ]]/TypesTable5[[#This Row],[المستهدف]]</f>
        <v>0.33103448275862069</v>
      </c>
      <c r="F9" s="19">
        <f>TypesTable5[[#This Row],[المتبقى]]/8</f>
        <v>36.375</v>
      </c>
      <c r="G9" s="19">
        <f>TypesTable5[[#This Row],[المستهدف - الأسبوعي]]/6</f>
        <v>6.0625</v>
      </c>
    </row>
    <row r="10" spans="1:7" ht="30" customHeight="1" x14ac:dyDescent="0.25">
      <c r="A10" s="18" t="s">
        <v>60</v>
      </c>
      <c r="B10" s="18">
        <f>154+'[1]كفر الشيخ'!$B$10</f>
        <v>201</v>
      </c>
      <c r="C10" s="18">
        <f>137+'[1]كفر الشيخ'!$C$10</f>
        <v>140</v>
      </c>
      <c r="D10" s="18">
        <f>TypesTable5[[#This Row],[المستهدف]]-TypesTable5[[#This Row],[المنفذ]]</f>
        <v>61</v>
      </c>
      <c r="E10" s="31">
        <f>TypesTable5[[#This Row],[المنفذ]]/TypesTable5[[#This Row],[المستهدف]]</f>
        <v>0.69651741293532343</v>
      </c>
      <c r="F10" s="19">
        <f>TypesTable5[[#This Row],[المتبقى]]/8</f>
        <v>7.625</v>
      </c>
      <c r="G10" s="19">
        <f>TypesTable5[[#This Row],[المستهدف - الأسبوعي]]/6</f>
        <v>1.2708333333333333</v>
      </c>
    </row>
    <row r="11" spans="1:7" ht="30" customHeight="1" x14ac:dyDescent="0.25">
      <c r="A11" s="18" t="s">
        <v>61</v>
      </c>
      <c r="B11" s="18">
        <f>298+'[1]كفر الشيخ'!$B$11</f>
        <v>385</v>
      </c>
      <c r="C11" s="18">
        <v>135</v>
      </c>
      <c r="D11" s="18">
        <f>TypesTable5[[#This Row],[المستهدف]]-TypesTable5[[#This Row],[المنفذ]]</f>
        <v>250</v>
      </c>
      <c r="E11" s="31">
        <f>TypesTable5[[#This Row],[المنفذ]]/TypesTable5[[#This Row],[المستهدف]]</f>
        <v>0.35064935064935066</v>
      </c>
      <c r="F11" s="19">
        <f>TypesTable5[[#This Row],[المتبقى]]/8</f>
        <v>31.25</v>
      </c>
      <c r="G11" s="19">
        <f>TypesTable5[[#This Row],[المستهدف - الأسبوعي]]/6</f>
        <v>5.208333333333333</v>
      </c>
    </row>
    <row r="12" spans="1:7" ht="30" customHeight="1" x14ac:dyDescent="0.25">
      <c r="A12" s="18" t="s">
        <v>62</v>
      </c>
      <c r="B12" s="18">
        <f>180+'[1]كفر الشيخ'!$B$12</f>
        <v>225</v>
      </c>
      <c r="C12" s="18">
        <v>108</v>
      </c>
      <c r="D12" s="18">
        <f>TypesTable5[[#This Row],[المستهدف]]-TypesTable5[[#This Row],[المنفذ]]</f>
        <v>117</v>
      </c>
      <c r="E12" s="31">
        <f>TypesTable5[[#This Row],[المنفذ]]/TypesTable5[[#This Row],[المستهدف]]</f>
        <v>0.48</v>
      </c>
      <c r="F12" s="19">
        <f>TypesTable5[[#This Row],[المتبقى]]/8</f>
        <v>14.625</v>
      </c>
      <c r="G12" s="19">
        <f>TypesTable5[[#This Row],[المستهدف - الأسبوعي]]/6</f>
        <v>2.4375</v>
      </c>
    </row>
    <row r="13" spans="1:7" ht="30" customHeight="1" x14ac:dyDescent="0.25">
      <c r="A13" s="18" t="s">
        <v>63</v>
      </c>
      <c r="B13" s="18">
        <f>189+'[1]كفر الشيخ'!$B$13</f>
        <v>332</v>
      </c>
      <c r="C13" s="18">
        <f>146+'[1]كفر الشيخ'!$C$13</f>
        <v>150</v>
      </c>
      <c r="D13" s="18">
        <f>TypesTable5[[#This Row],[المستهدف]]-TypesTable5[[#This Row],[المنفذ]]</f>
        <v>182</v>
      </c>
      <c r="E13" s="31">
        <f>TypesTable5[[#This Row],[المنفذ]]/TypesTable5[[#This Row],[المستهدف]]</f>
        <v>0.45180722891566266</v>
      </c>
      <c r="F13" s="19">
        <f>TypesTable5[[#This Row],[المتبقى]]/8</f>
        <v>22.75</v>
      </c>
      <c r="G13" s="19">
        <f>TypesTable5[[#This Row],[المستهدف - الأسبوعي]]/6</f>
        <v>3.7916666666666665</v>
      </c>
    </row>
    <row r="14" spans="1:7" ht="30" customHeight="1" x14ac:dyDescent="0.25">
      <c r="A14" s="18" t="s">
        <v>64</v>
      </c>
      <c r="B14" s="18">
        <f>405+'[1]كفر الشيخ'!$B$14</f>
        <v>586</v>
      </c>
      <c r="C14" s="18">
        <v>163</v>
      </c>
      <c r="D14" s="18">
        <f>TypesTable5[[#This Row],[المستهدف]]-TypesTable5[[#This Row],[المنفذ]]</f>
        <v>423</v>
      </c>
      <c r="E14" s="31">
        <f>TypesTable5[[#This Row],[المنفذ]]/TypesTable5[[#This Row],[المستهدف]]</f>
        <v>0.27815699658703069</v>
      </c>
      <c r="F14" s="19">
        <f>TypesTable5[[#This Row],[المتبقى]]/8</f>
        <v>52.875</v>
      </c>
      <c r="G14" s="19">
        <f>TypesTable5[[#This Row],[المستهدف - الأسبوعي]]/6</f>
        <v>8.8125</v>
      </c>
    </row>
    <row r="15" spans="1:7" ht="30" customHeight="1" x14ac:dyDescent="0.25">
      <c r="A15" s="18" t="s">
        <v>65</v>
      </c>
      <c r="B15" s="18">
        <f>154+'[1]كفر الشيخ'!$B$15</f>
        <v>243</v>
      </c>
      <c r="C15" s="18">
        <v>75</v>
      </c>
      <c r="D15" s="18">
        <f>TypesTable5[[#This Row],[المستهدف]]-TypesTable5[[#This Row],[المنفذ]]</f>
        <v>168</v>
      </c>
      <c r="E15" s="31">
        <f>TypesTable5[[#This Row],[المنفذ]]/TypesTable5[[#This Row],[المستهدف]]</f>
        <v>0.30864197530864196</v>
      </c>
      <c r="F15" s="19">
        <f>TypesTable5[[#This Row],[المتبقى]]/8</f>
        <v>21</v>
      </c>
      <c r="G15" s="19">
        <f>TypesTable5[[#This Row],[المستهدف - الأسبوعي]]/6</f>
        <v>3.5</v>
      </c>
    </row>
    <row r="16" spans="1:7" ht="30" customHeight="1" x14ac:dyDescent="0.25">
      <c r="A16" s="18" t="s">
        <v>66</v>
      </c>
      <c r="B16" s="18">
        <f>274+'[1]كفر الشيخ'!$B$16</f>
        <v>333</v>
      </c>
      <c r="C16" s="18">
        <v>109</v>
      </c>
      <c r="D16" s="18">
        <f>TypesTable5[[#This Row],[المستهدف]]-TypesTable5[[#This Row],[المنفذ]]</f>
        <v>224</v>
      </c>
      <c r="E16" s="31">
        <f>TypesTable5[[#This Row],[المنفذ]]/TypesTable5[[#This Row],[المستهدف]]</f>
        <v>0.32732732732732733</v>
      </c>
      <c r="F16" s="19">
        <f>TypesTable5[[#This Row],[المتبقى]]/8</f>
        <v>28</v>
      </c>
      <c r="G16" s="19">
        <f>TypesTable5[[#This Row],[المستهدف - الأسبوعي]]/6</f>
        <v>4.666666666666667</v>
      </c>
    </row>
    <row r="17" spans="1:7" ht="30" customHeight="1" x14ac:dyDescent="0.25">
      <c r="A17" s="18" t="s">
        <v>67</v>
      </c>
      <c r="B17" s="18">
        <f>375+'[1]كفر الشيخ'!$B$17</f>
        <v>502</v>
      </c>
      <c r="C17" s="18">
        <v>111</v>
      </c>
      <c r="D17" s="18">
        <f>TypesTable5[[#This Row],[المستهدف]]-TypesTable5[[#This Row],[المنفذ]]</f>
        <v>391</v>
      </c>
      <c r="E17" s="31">
        <f>TypesTable5[[#This Row],[المنفذ]]/TypesTable5[[#This Row],[المستهدف]]</f>
        <v>0.22111553784860558</v>
      </c>
      <c r="F17" s="19">
        <f>TypesTable5[[#This Row],[المتبقى]]/8</f>
        <v>48.875</v>
      </c>
      <c r="G17" s="19">
        <f>TypesTable5[[#This Row],[المستهدف - الأسبوعي]]/6</f>
        <v>8.1458333333333339</v>
      </c>
    </row>
    <row r="18" spans="1:7" ht="30" customHeight="1" x14ac:dyDescent="0.25">
      <c r="A18" s="18" t="s">
        <v>68</v>
      </c>
      <c r="B18" s="18">
        <f>226+'[1]كفر الشيخ'!$B$18</f>
        <v>365</v>
      </c>
      <c r="C18" s="18">
        <f>140+'[1]كفر الشيخ'!$C$18</f>
        <v>141</v>
      </c>
      <c r="D18" s="18">
        <f>TypesTable5[[#This Row],[المستهدف]]-TypesTable5[[#This Row],[المنفذ]]</f>
        <v>224</v>
      </c>
      <c r="E18" s="31">
        <f>TypesTable5[[#This Row],[المنفذ]]/TypesTable5[[#This Row],[المستهدف]]</f>
        <v>0.38630136986301372</v>
      </c>
      <c r="F18" s="19">
        <f>TypesTable5[[#This Row],[المتبقى]]/8</f>
        <v>28</v>
      </c>
      <c r="G18" s="19">
        <f>TypesTable5[[#This Row],[المستهدف - الأسبوعي]]/6</f>
        <v>4.666666666666667</v>
      </c>
    </row>
    <row r="19" spans="1:7" ht="30" customHeight="1" x14ac:dyDescent="0.25">
      <c r="A19" s="18" t="s">
        <v>69</v>
      </c>
      <c r="B19" s="18">
        <f>125+'[1]كفر الشيخ'!$B$19</f>
        <v>155</v>
      </c>
      <c r="C19" s="18">
        <v>100</v>
      </c>
      <c r="D19" s="18">
        <f>TypesTable5[[#This Row],[المستهدف]]-TypesTable5[[#This Row],[المنفذ]]</f>
        <v>55</v>
      </c>
      <c r="E19" s="31">
        <f>TypesTable5[[#This Row],[المنفذ]]/TypesTable5[[#This Row],[المستهدف]]</f>
        <v>0.64516129032258063</v>
      </c>
      <c r="F19" s="19">
        <f>TypesTable5[[#This Row],[المتبقى]]/8</f>
        <v>6.875</v>
      </c>
      <c r="G19" s="19">
        <f>TypesTable5[[#This Row],[المستهدف - الأسبوعي]]/6</f>
        <v>1.1458333333333333</v>
      </c>
    </row>
    <row r="20" spans="1:7" ht="30" customHeight="1" x14ac:dyDescent="0.25">
      <c r="A20" s="7" t="s">
        <v>17</v>
      </c>
      <c r="B20" s="7">
        <f>SUBTOTAL(109,B3:B19)</f>
        <v>5952</v>
      </c>
      <c r="C20" s="7">
        <f>SUBTOTAL(109,C3:C19)</f>
        <v>2176</v>
      </c>
      <c r="D20" s="7">
        <f>TypesTable5[[#This Row],[المستهدف]]-TypesTable5[[#This Row],[المنفذ]]</f>
        <v>3776</v>
      </c>
      <c r="E20" s="32">
        <f>TypesTable5[[#This Row],[المنفذ]]/TypesTable5[[#This Row],[المستهدف]]</f>
        <v>0.36559139784946237</v>
      </c>
      <c r="F20" s="7">
        <f>TypesTable5[[#This Row],[المتبقى]]/8</f>
        <v>472</v>
      </c>
      <c r="G20" s="8">
        <f>TypesTable5[[#This Row],[المستهدف - الأسبوعي]]/6</f>
        <v>78.666666666666671</v>
      </c>
    </row>
  </sheetData>
  <mergeCells count="1">
    <mergeCell ref="A1:G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Sheet1</vt:lpstr>
      <vt:lpstr>دمياط</vt:lpstr>
      <vt:lpstr>ش الدقهلية</vt:lpstr>
      <vt:lpstr>ج الدقهلية</vt:lpstr>
      <vt:lpstr>كفر الشيخ</vt:lpstr>
      <vt:lpstr>دمياط!Print_Area</vt:lpstr>
      <vt:lpstr>'ش الدقهلية'!Print_Area</vt:lpstr>
      <vt:lpstr>'كفر الشيخ'!Print_Area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2026-05-07T10:34:05Z</dcterms:modified>
</cp:coreProperties>
</file>