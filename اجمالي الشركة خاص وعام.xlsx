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8726F82-DE42-420E-8A39-C39D51000071}" xr6:coauthVersionLast="47" xr6:coauthVersionMax="47" xr10:uidLastSave="{00000000-0000-0000-0000-000000000000}"/>
  <bookViews>
    <workbookView xWindow="-120" yWindow="330" windowWidth="24240" windowHeight="13290" activeTab="3" xr2:uid="{00000000-000D-0000-FFFF-FFFF00000000}"/>
  </bookViews>
  <sheets>
    <sheet name="دمياط" sheetId="1" r:id="rId1"/>
    <sheet name="ش الدقهلية" sheetId="2" r:id="rId2"/>
    <sheet name="ج الدقهلية" sheetId="3" r:id="rId3"/>
    <sheet name="كفر الشيخ" sheetId="4" r:id="rId4"/>
  </sheets>
  <externalReferences>
    <externalReference r:id="rId5"/>
  </externalReferences>
  <definedNames>
    <definedName name="_xlnm.Print_Area" localSheetId="0">دمياط!$A$1:$G$14</definedName>
    <definedName name="_xlnm.Print_Area" localSheetId="1">'ش الدقهلية'!$A$1:$G$29</definedName>
    <definedName name="_xlnm.Print_Area" localSheetId="3">'كفر الشيخ'!$A$1:$K$61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4" l="1"/>
  <c r="C54" i="4"/>
  <c r="C51" i="4"/>
  <c r="C50" i="4"/>
  <c r="C47" i="4"/>
  <c r="C46" i="4"/>
  <c r="C5" i="3"/>
  <c r="C3" i="3"/>
  <c r="C17" i="2"/>
  <c r="B60" i="4"/>
  <c r="D60" i="4" s="1"/>
  <c r="F60" i="4" s="1"/>
  <c r="G60" i="4" s="1"/>
  <c r="B59" i="4"/>
  <c r="E59" i="4" s="1"/>
  <c r="B58" i="4"/>
  <c r="D58" i="4" s="1"/>
  <c r="F58" i="4" s="1"/>
  <c r="G58" i="4" s="1"/>
  <c r="B57" i="4"/>
  <c r="E57" i="4" s="1"/>
  <c r="B56" i="4"/>
  <c r="D56" i="4" s="1"/>
  <c r="F56" i="4" s="1"/>
  <c r="G56" i="4" s="1"/>
  <c r="B55" i="4"/>
  <c r="E55" i="4" s="1"/>
  <c r="B54" i="4"/>
  <c r="B53" i="4"/>
  <c r="B52" i="4"/>
  <c r="E52" i="4" s="1"/>
  <c r="B51" i="4"/>
  <c r="D51" i="4" s="1"/>
  <c r="F51" i="4" s="1"/>
  <c r="G51" i="4" s="1"/>
  <c r="B50" i="4"/>
  <c r="D50" i="4" s="1"/>
  <c r="F50" i="4" s="1"/>
  <c r="G50" i="4" s="1"/>
  <c r="B49" i="4"/>
  <c r="E49" i="4" s="1"/>
  <c r="B48" i="4"/>
  <c r="E48" i="4" s="1"/>
  <c r="B47" i="4"/>
  <c r="D47" i="4" s="1"/>
  <c r="F47" i="4" s="1"/>
  <c r="G47" i="4" s="1"/>
  <c r="B46" i="4"/>
  <c r="B45" i="4"/>
  <c r="E45" i="4" s="1"/>
  <c r="B44" i="4"/>
  <c r="E44" i="4" s="1"/>
  <c r="E60" i="4"/>
  <c r="D55" i="4"/>
  <c r="F55" i="4" s="1"/>
  <c r="G55" i="4" s="1"/>
  <c r="E53" i="4"/>
  <c r="D53" i="4"/>
  <c r="F53" i="4" s="1"/>
  <c r="G53" i="4" s="1"/>
  <c r="D52" i="4"/>
  <c r="F52" i="4" s="1"/>
  <c r="G52" i="4" s="1"/>
  <c r="D48" i="4"/>
  <c r="F48" i="4" s="1"/>
  <c r="G48" i="4" s="1"/>
  <c r="E47" i="4"/>
  <c r="D44" i="4"/>
  <c r="F44" i="4" s="1"/>
  <c r="G44" i="4" s="1"/>
  <c r="F42" i="4"/>
  <c r="G42" i="4" s="1"/>
  <c r="E42" i="4"/>
  <c r="D42" i="4"/>
  <c r="F41" i="4"/>
  <c r="G41" i="4" s="1"/>
  <c r="E41" i="4"/>
  <c r="D41" i="4"/>
  <c r="F40" i="4"/>
  <c r="G40" i="4" s="1"/>
  <c r="E40" i="4"/>
  <c r="D40" i="4"/>
  <c r="F39" i="4"/>
  <c r="G39" i="4" s="1"/>
  <c r="E39" i="4"/>
  <c r="D39" i="4"/>
  <c r="F38" i="4"/>
  <c r="G38" i="4" s="1"/>
  <c r="E38" i="4"/>
  <c r="D38" i="4"/>
  <c r="F37" i="4"/>
  <c r="G37" i="4" s="1"/>
  <c r="E37" i="4"/>
  <c r="D37" i="4"/>
  <c r="F36" i="4"/>
  <c r="G36" i="4" s="1"/>
  <c r="E36" i="4"/>
  <c r="D36" i="4"/>
  <c r="F35" i="4"/>
  <c r="G35" i="4" s="1"/>
  <c r="E35" i="4"/>
  <c r="D35" i="4"/>
  <c r="F34" i="4"/>
  <c r="G34" i="4" s="1"/>
  <c r="E34" i="4"/>
  <c r="D34" i="4"/>
  <c r="F33" i="4"/>
  <c r="G33" i="4" s="1"/>
  <c r="E33" i="4"/>
  <c r="D33" i="4"/>
  <c r="F32" i="4"/>
  <c r="G32" i="4" s="1"/>
  <c r="E32" i="4"/>
  <c r="D32" i="4"/>
  <c r="F31" i="4"/>
  <c r="G31" i="4" s="1"/>
  <c r="E31" i="4"/>
  <c r="D31" i="4"/>
  <c r="F30" i="4"/>
  <c r="G30" i="4" s="1"/>
  <c r="E30" i="4"/>
  <c r="D30" i="4"/>
  <c r="F29" i="4"/>
  <c r="G29" i="4" s="1"/>
  <c r="D29" i="4"/>
  <c r="C29" i="4"/>
  <c r="E29" i="4" s="1"/>
  <c r="F28" i="4"/>
  <c r="G28" i="4" s="1"/>
  <c r="E28" i="4"/>
  <c r="D28" i="4"/>
  <c r="F27" i="4"/>
  <c r="G27" i="4" s="1"/>
  <c r="E27" i="4"/>
  <c r="D27" i="4"/>
  <c r="F26" i="4"/>
  <c r="G26" i="4" s="1"/>
  <c r="E26" i="4"/>
  <c r="D26" i="4"/>
  <c r="F25" i="4"/>
  <c r="G25" i="4" s="1"/>
  <c r="E25" i="4"/>
  <c r="D25" i="4"/>
  <c r="F24" i="4"/>
  <c r="G24" i="4" s="1"/>
  <c r="E24" i="4"/>
  <c r="D24" i="4"/>
  <c r="F23" i="4"/>
  <c r="G23" i="4" s="1"/>
  <c r="E23" i="4"/>
  <c r="D23" i="4"/>
  <c r="F22" i="4"/>
  <c r="G22" i="4" s="1"/>
  <c r="E22" i="4"/>
  <c r="D22" i="4"/>
  <c r="F21" i="4"/>
  <c r="G21" i="4" s="1"/>
  <c r="E21" i="4"/>
  <c r="D21" i="4"/>
  <c r="F20" i="4"/>
  <c r="G20" i="4" s="1"/>
  <c r="E20" i="4"/>
  <c r="D20" i="4"/>
  <c r="F19" i="4"/>
  <c r="G19" i="4" s="1"/>
  <c r="E19" i="4"/>
  <c r="D19" i="4"/>
  <c r="F18" i="4"/>
  <c r="G18" i="4" s="1"/>
  <c r="E18" i="4"/>
  <c r="D18" i="4"/>
  <c r="F17" i="4"/>
  <c r="G17" i="4" s="1"/>
  <c r="E17" i="4"/>
  <c r="D17" i="4"/>
  <c r="F16" i="4"/>
  <c r="G16" i="4" s="1"/>
  <c r="E16" i="4"/>
  <c r="D16" i="4"/>
  <c r="F15" i="4"/>
  <c r="G15" i="4" s="1"/>
  <c r="E15" i="4"/>
  <c r="D15" i="4"/>
  <c r="F14" i="4"/>
  <c r="G14" i="4" s="1"/>
  <c r="D14" i="4"/>
  <c r="C14" i="4"/>
  <c r="E14" i="4" s="1"/>
  <c r="F13" i="4"/>
  <c r="G13" i="4" s="1"/>
  <c r="E13" i="4"/>
  <c r="D13" i="4"/>
  <c r="F12" i="4"/>
  <c r="G12" i="4" s="1"/>
  <c r="E12" i="4"/>
  <c r="D12" i="4"/>
  <c r="F11" i="4"/>
  <c r="G11" i="4" s="1"/>
  <c r="E11" i="4"/>
  <c r="D11" i="4"/>
  <c r="F10" i="4"/>
  <c r="G10" i="4" s="1"/>
  <c r="E10" i="4"/>
  <c r="D10" i="4"/>
  <c r="F9" i="4"/>
  <c r="G9" i="4" s="1"/>
  <c r="E9" i="4"/>
  <c r="D9" i="4"/>
  <c r="F8" i="4"/>
  <c r="G8" i="4" s="1"/>
  <c r="E8" i="4"/>
  <c r="D8" i="4"/>
  <c r="F7" i="4"/>
  <c r="G7" i="4" s="1"/>
  <c r="E7" i="4"/>
  <c r="D7" i="4"/>
  <c r="F6" i="4"/>
  <c r="G6" i="4" s="1"/>
  <c r="E6" i="4"/>
  <c r="D6" i="4"/>
  <c r="F5" i="4"/>
  <c r="G5" i="4" s="1"/>
  <c r="E5" i="4"/>
  <c r="D5" i="4"/>
  <c r="F4" i="4"/>
  <c r="G4" i="4" s="1"/>
  <c r="E4" i="4"/>
  <c r="D4" i="4"/>
  <c r="F3" i="4"/>
  <c r="G3" i="4" s="1"/>
  <c r="E3" i="4"/>
  <c r="D3" i="4"/>
  <c r="B15" i="3"/>
  <c r="B14" i="3"/>
  <c r="D14" i="3" s="1"/>
  <c r="F14" i="3" s="1"/>
  <c r="G14" i="3" s="1"/>
  <c r="B13" i="3"/>
  <c r="D13" i="3" s="1"/>
  <c r="F13" i="3" s="1"/>
  <c r="G13" i="3" s="1"/>
  <c r="B12" i="3"/>
  <c r="E12" i="3" s="1"/>
  <c r="B11" i="3"/>
  <c r="B10" i="3"/>
  <c r="E10" i="3" s="1"/>
  <c r="B9" i="3"/>
  <c r="D9" i="3" s="1"/>
  <c r="F9" i="3" s="1"/>
  <c r="G9" i="3" s="1"/>
  <c r="B8" i="3"/>
  <c r="E8" i="3" s="1"/>
  <c r="B7" i="3"/>
  <c r="B6" i="3"/>
  <c r="D6" i="3" s="1"/>
  <c r="F6" i="3" s="1"/>
  <c r="G6" i="3" s="1"/>
  <c r="B5" i="3"/>
  <c r="D5" i="3" s="1"/>
  <c r="F5" i="3" s="1"/>
  <c r="G5" i="3" s="1"/>
  <c r="B4" i="3"/>
  <c r="E4" i="3" s="1"/>
  <c r="B3" i="3"/>
  <c r="D3" i="3" s="1"/>
  <c r="F3" i="3" s="1"/>
  <c r="G3" i="3" s="1"/>
  <c r="C16" i="3"/>
  <c r="E15" i="3"/>
  <c r="D15" i="3"/>
  <c r="F15" i="3" s="1"/>
  <c r="G15" i="3" s="1"/>
  <c r="E14" i="3"/>
  <c r="E13" i="3"/>
  <c r="D12" i="3"/>
  <c r="F12" i="3" s="1"/>
  <c r="G12" i="3" s="1"/>
  <c r="E11" i="3"/>
  <c r="D11" i="3"/>
  <c r="F11" i="3" s="1"/>
  <c r="G11" i="3" s="1"/>
  <c r="D10" i="3"/>
  <c r="F10" i="3" s="1"/>
  <c r="G10" i="3" s="1"/>
  <c r="E9" i="3"/>
  <c r="E7" i="3"/>
  <c r="D7" i="3"/>
  <c r="F7" i="3" s="1"/>
  <c r="G7" i="3" s="1"/>
  <c r="E6" i="3"/>
  <c r="E3" i="3"/>
  <c r="B28" i="2"/>
  <c r="D28" i="2" s="1"/>
  <c r="F28" i="2" s="1"/>
  <c r="G28" i="2" s="1"/>
  <c r="B27" i="2"/>
  <c r="B26" i="2"/>
  <c r="E26" i="2" s="1"/>
  <c r="B25" i="2"/>
  <c r="E25" i="2" s="1"/>
  <c r="B24" i="2"/>
  <c r="E24" i="2" s="1"/>
  <c r="B23" i="2"/>
  <c r="E23" i="2" s="1"/>
  <c r="B22" i="2"/>
  <c r="E22" i="2" s="1"/>
  <c r="B21" i="2"/>
  <c r="E21" i="2" s="1"/>
  <c r="B20" i="2"/>
  <c r="E20" i="2" s="1"/>
  <c r="B19" i="2"/>
  <c r="B16" i="2"/>
  <c r="E16" i="2" s="1"/>
  <c r="B17" i="2"/>
  <c r="B18" i="2"/>
  <c r="E18" i="2" s="1"/>
  <c r="B15" i="2"/>
  <c r="E19" i="2"/>
  <c r="E27" i="2"/>
  <c r="E28" i="2"/>
  <c r="D24" i="2"/>
  <c r="F24" i="2" s="1"/>
  <c r="G24" i="2" s="1"/>
  <c r="D22" i="2"/>
  <c r="F22" i="2" s="1"/>
  <c r="G22" i="2" s="1"/>
  <c r="D18" i="2"/>
  <c r="F18" i="2" s="1"/>
  <c r="G18" i="2" s="1"/>
  <c r="E15" i="2"/>
  <c r="D15" i="2"/>
  <c r="F15" i="2" s="1"/>
  <c r="G15" i="2" s="1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E58" i="4" l="1"/>
  <c r="E50" i="4"/>
  <c r="E51" i="4"/>
  <c r="D46" i="4"/>
  <c r="F46" i="4" s="1"/>
  <c r="G46" i="4" s="1"/>
  <c r="E56" i="4"/>
  <c r="E46" i="4"/>
  <c r="E54" i="4"/>
  <c r="D59" i="4"/>
  <c r="F59" i="4" s="1"/>
  <c r="G59" i="4" s="1"/>
  <c r="D16" i="2"/>
  <c r="F16" i="2" s="1"/>
  <c r="G16" i="2" s="1"/>
  <c r="E5" i="3"/>
  <c r="D54" i="4"/>
  <c r="F54" i="4" s="1"/>
  <c r="G54" i="4" s="1"/>
  <c r="E17" i="2"/>
  <c r="C61" i="4"/>
  <c r="C29" i="2"/>
  <c r="D57" i="4"/>
  <c r="F57" i="4" s="1"/>
  <c r="G57" i="4" s="1"/>
  <c r="D49" i="4"/>
  <c r="F49" i="4" s="1"/>
  <c r="G49" i="4" s="1"/>
  <c r="D45" i="4"/>
  <c r="F45" i="4" s="1"/>
  <c r="G45" i="4" s="1"/>
  <c r="B61" i="4"/>
  <c r="D8" i="3"/>
  <c r="F8" i="3" s="1"/>
  <c r="G8" i="3" s="1"/>
  <c r="D4" i="3"/>
  <c r="F4" i="3" s="1"/>
  <c r="G4" i="3" s="1"/>
  <c r="B16" i="3"/>
  <c r="D16" i="3" s="1"/>
  <c r="F16" i="3" s="1"/>
  <c r="G16" i="3" s="1"/>
  <c r="D26" i="2"/>
  <c r="F26" i="2" s="1"/>
  <c r="G26" i="2" s="1"/>
  <c r="D25" i="2"/>
  <c r="F25" i="2" s="1"/>
  <c r="G25" i="2" s="1"/>
  <c r="D21" i="2"/>
  <c r="F21" i="2" s="1"/>
  <c r="G21" i="2" s="1"/>
  <c r="D20" i="2"/>
  <c r="F20" i="2" s="1"/>
  <c r="G20" i="2" s="1"/>
  <c r="D17" i="2"/>
  <c r="F17" i="2" s="1"/>
  <c r="G17" i="2" s="1"/>
  <c r="D19" i="2"/>
  <c r="F19" i="2" s="1"/>
  <c r="G19" i="2" s="1"/>
  <c r="D23" i="2"/>
  <c r="F23" i="2" s="1"/>
  <c r="G23" i="2" s="1"/>
  <c r="D27" i="2"/>
  <c r="F27" i="2" s="1"/>
  <c r="G27" i="2" s="1"/>
  <c r="B29" i="2"/>
  <c r="D29" i="2" s="1"/>
  <c r="F29" i="2" s="1"/>
  <c r="G29" i="2" s="1"/>
  <c r="D61" i="4" l="1"/>
  <c r="F61" i="4" s="1"/>
  <c r="G61" i="4" s="1"/>
  <c r="E61" i="4"/>
  <c r="E16" i="3"/>
  <c r="E29" i="2"/>
  <c r="C14" i="1" l="1"/>
  <c r="B14" i="1"/>
  <c r="E14" i="1" s="1"/>
  <c r="E13" i="1"/>
  <c r="D13" i="1"/>
  <c r="F13" i="1" s="1"/>
  <c r="G13" i="1" s="1"/>
  <c r="E12" i="1"/>
  <c r="D12" i="1"/>
  <c r="F12" i="1" s="1"/>
  <c r="G12" i="1" s="1"/>
  <c r="E11" i="1"/>
  <c r="D11" i="1"/>
  <c r="F11" i="1" s="1"/>
  <c r="G11" i="1" s="1"/>
  <c r="E10" i="1"/>
  <c r="D10" i="1"/>
  <c r="F10" i="1" s="1"/>
  <c r="G10" i="1" s="1"/>
  <c r="E9" i="1"/>
  <c r="D9" i="1"/>
  <c r="F9" i="1" s="1"/>
  <c r="G9" i="1" s="1"/>
  <c r="E8" i="1"/>
  <c r="D8" i="1"/>
  <c r="F8" i="1" s="1"/>
  <c r="G8" i="1" s="1"/>
  <c r="E7" i="1"/>
  <c r="D7" i="1"/>
  <c r="F7" i="1" s="1"/>
  <c r="G7" i="1" s="1"/>
  <c r="E6" i="1"/>
  <c r="D6" i="1"/>
  <c r="F6" i="1" s="1"/>
  <c r="G6" i="1" s="1"/>
  <c r="E5" i="1"/>
  <c r="D5" i="1"/>
  <c r="F5" i="1" s="1"/>
  <c r="G5" i="1" s="1"/>
  <c r="E4" i="1"/>
  <c r="D4" i="1"/>
  <c r="F4" i="1" s="1"/>
  <c r="G4" i="1" s="1"/>
  <c r="E3" i="1"/>
  <c r="D3" i="1"/>
  <c r="F3" i="1" s="1"/>
  <c r="G3" i="1" s="1"/>
  <c r="D14" i="1" l="1"/>
  <c r="F14" i="1" s="1"/>
  <c r="G14" i="1" s="1"/>
</calcChain>
</file>

<file path=xl/sharedStrings.xml><?xml version="1.0" encoding="utf-8"?>
<sst xmlns="http://schemas.openxmlformats.org/spreadsheetml/2006/main" count="174" uniqueCount="80">
  <si>
    <t>قطاع دمياط</t>
  </si>
  <si>
    <t>ملك الشركة - المنفذ</t>
  </si>
  <si>
    <t>المتبقى</t>
  </si>
  <si>
    <t>نسبة تنفيذ</t>
  </si>
  <si>
    <t>المستهدف - الأسبوعي</t>
  </si>
  <si>
    <t>المستهدف اليومي</t>
  </si>
  <si>
    <t xml:space="preserve">هندسة شمال دمياط                        </t>
  </si>
  <si>
    <t xml:space="preserve">هندسة جنوب دمياط                        </t>
  </si>
  <si>
    <t xml:space="preserve">هندسة عزبة البرج                        </t>
  </si>
  <si>
    <t xml:space="preserve">هندسة كفر سعد                           </t>
  </si>
  <si>
    <t xml:space="preserve">هندسة كفر البطيخ                        </t>
  </si>
  <si>
    <t xml:space="preserve">هندسة راس البر                          </t>
  </si>
  <si>
    <t xml:space="preserve">هندسة دمياط الجديدة                     </t>
  </si>
  <si>
    <t xml:space="preserve">هندسة الزرقا                            </t>
  </si>
  <si>
    <t xml:space="preserve">هندسة فارسكور                           </t>
  </si>
  <si>
    <t xml:space="preserve">هندسة الروضة                            </t>
  </si>
  <si>
    <t xml:space="preserve">هندسة الشعراء                           </t>
  </si>
  <si>
    <t>الإجمالي</t>
  </si>
  <si>
    <t>عمود1</t>
  </si>
  <si>
    <t>قطاع شمال الدقهلية</t>
  </si>
  <si>
    <t xml:space="preserve">هندسة مدينة شربين                       </t>
  </si>
  <si>
    <t xml:space="preserve">هندسة قري شربين                         </t>
  </si>
  <si>
    <t xml:space="preserve">هندسة دكرنس                             </t>
  </si>
  <si>
    <t xml:space="preserve">هندسة جمصة                              </t>
  </si>
  <si>
    <t xml:space="preserve">هندسة قري بلقاس                         </t>
  </si>
  <si>
    <t xml:space="preserve">هندسة مدينة بلقاس                       </t>
  </si>
  <si>
    <t xml:space="preserve">هندسة الستامونى                         </t>
  </si>
  <si>
    <t xml:space="preserve">هندسة بني عبيد                          </t>
  </si>
  <si>
    <t xml:space="preserve">هندسة منية النصر                        </t>
  </si>
  <si>
    <t xml:space="preserve">هندسة ميت سلسيل                         </t>
  </si>
  <si>
    <t xml:space="preserve">هندسة الجمالية                          </t>
  </si>
  <si>
    <t xml:space="preserve">هندسة قري المنزلة                       </t>
  </si>
  <si>
    <t xml:space="preserve">هندسة مدينة المنزلة                     </t>
  </si>
  <si>
    <t xml:space="preserve">هندسة المطرية                           </t>
  </si>
  <si>
    <t>قطاع جنوب الدقهلية</t>
  </si>
  <si>
    <t xml:space="preserve">هندسة شرق المنصورة                      </t>
  </si>
  <si>
    <t xml:space="preserve">هندسة غرب المنصورة                      </t>
  </si>
  <si>
    <t xml:space="preserve">هندسة طلخا                              </t>
  </si>
  <si>
    <t xml:space="preserve">هندسة نبروه                             </t>
  </si>
  <si>
    <t xml:space="preserve">هندسة قري المنصورة 1                    </t>
  </si>
  <si>
    <t xml:space="preserve">هندسة قري المنصورة 2                    </t>
  </si>
  <si>
    <t xml:space="preserve">هندسة اجا                               </t>
  </si>
  <si>
    <t xml:space="preserve">هندسة مدينة السنبلاوين                  </t>
  </si>
  <si>
    <t xml:space="preserve">هندسة قري السنبلاوين                    </t>
  </si>
  <si>
    <t xml:space="preserve">هندسة تمي الامديد                       </t>
  </si>
  <si>
    <t xml:space="preserve">هندسة مدينة ميت غمر                     </t>
  </si>
  <si>
    <t xml:space="preserve">هندسة قري ميت غمر                       </t>
  </si>
  <si>
    <t xml:space="preserve">هندسة كوم النور                         </t>
  </si>
  <si>
    <t>الأجمالي</t>
  </si>
  <si>
    <t>قطاع كفر الشيخ</t>
  </si>
  <si>
    <t xml:space="preserve">هندسة مدينة كفر الشيخ                   </t>
  </si>
  <si>
    <t xml:space="preserve">هندسة غرب كفر الشيخ                     </t>
  </si>
  <si>
    <t xml:space="preserve">هندسة شرق كفر الشيخ                     </t>
  </si>
  <si>
    <t xml:space="preserve">هندسة قلين                              </t>
  </si>
  <si>
    <t xml:space="preserve">هندسة قرى سيدي سالم                     </t>
  </si>
  <si>
    <t xml:space="preserve">هندسة مدينة سيدي سالم                   </t>
  </si>
  <si>
    <t xml:space="preserve">هندسة الرياض                            </t>
  </si>
  <si>
    <t xml:space="preserve">هندسة مدينة دسوق                        </t>
  </si>
  <si>
    <t xml:space="preserve">هندسة قرى شمال دسوق                     </t>
  </si>
  <si>
    <t xml:space="preserve">هندسة قرى جنوب دسوق                     </t>
  </si>
  <si>
    <t xml:space="preserve">هندسة فوه                               </t>
  </si>
  <si>
    <t xml:space="preserve">هندسة مطوبس                             </t>
  </si>
  <si>
    <t xml:space="preserve">هندسة مدينة الحامول                     </t>
  </si>
  <si>
    <t xml:space="preserve">هندسة قرى الحامول                       </t>
  </si>
  <si>
    <t xml:space="preserve">هندسة بيلا                              </t>
  </si>
  <si>
    <t xml:space="preserve">هندسة بلطيم                             </t>
  </si>
  <si>
    <t xml:space="preserve">هندسة برج البرلس                        </t>
  </si>
  <si>
    <t>Column1</t>
  </si>
  <si>
    <t>Column2</t>
  </si>
  <si>
    <t>Column3</t>
  </si>
  <si>
    <t>Target</t>
  </si>
  <si>
    <t>Done</t>
  </si>
  <si>
    <t>Balance</t>
  </si>
  <si>
    <t>Percentage</t>
  </si>
  <si>
    <t>weekly target</t>
  </si>
  <si>
    <t>daily target</t>
  </si>
  <si>
    <t>Installation Date 4-5-2026</t>
  </si>
  <si>
    <t>Installation Date 3-5-2026</t>
  </si>
  <si>
    <t>Installation Date 5-5-2026</t>
  </si>
  <si>
    <t>بيان ماتم تركيبة من العدادات الذكية بالمحولات العامة والخاصةA4-A5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</si>
</sst>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theme="2" tint="-0.89999084444715716"/>
      <name val="Arial Black"/>
      <family val="2"/>
    </font>
    <font>
      <b/>
      <sz val="11"/>
      <color theme="2" tint="-0.89999084444715716"/>
      <name val="Calibri"/>
      <family val="2"/>
    </font>
    <font>
      <sz val="12"/>
      <color theme="1"/>
      <name val="Arial Black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4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4"/>
      <color theme="1" tint="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9" fontId="4" fillId="0" borderId="1" xfId="1" applyFont="1" applyFill="1" applyBorder="1" applyAlignment="1" applyProtection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 applyProtection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1" applyFont="1" applyFill="1" applyBorder="1" applyAlignment="1" applyProtection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1" fillId="0" borderId="1" xfId="1" applyFont="1" applyFill="1" applyBorder="1" applyAlignment="1" applyProtection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1" applyFont="1" applyFill="1" applyBorder="1" applyAlignment="1" applyProtection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9" fontId="14" fillId="2" borderId="1" xfId="1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60"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1" tint="4.9989318521683403E-2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Arial Black"/>
        <family val="2"/>
        <scheme val="none"/>
      </font>
      <numFmt numFmtId="21" formatCode="dd\-mm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89999084444715716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c/Desktop/&#1575;&#1604;&#1605;&#1581;&#1608;&#1604;&#1575;&#1578;%20&#1575;&#1604;&#1582;&#1575;&#1589;&#1577;-A5.xlsx" TargetMode="External"/><Relationship Id="rId1" Type="http://schemas.openxmlformats.org/officeDocument/2006/relationships/externalLinkPath" Target="/Users/pc/Desktop/&#1575;&#1604;&#1605;&#1581;&#1608;&#1604;&#1575;&#1578;%20&#1575;&#1604;&#1582;&#1575;&#1589;&#1577;-A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دمياط"/>
      <sheetName val="شمال الدقهلية"/>
      <sheetName val="جنوب الدقهلية"/>
      <sheetName val="كفر الشيخ"/>
      <sheetName val="المحولات الخاصة-A5"/>
    </sheetNames>
    <sheetDataSet>
      <sheetData sheetId="0"/>
      <sheetData sheetId="1">
        <row r="3">
          <cell r="B3">
            <v>73</v>
          </cell>
        </row>
        <row r="4">
          <cell r="B4">
            <v>130</v>
          </cell>
        </row>
        <row r="5">
          <cell r="B5">
            <v>92</v>
          </cell>
          <cell r="C5">
            <v>3</v>
          </cell>
        </row>
        <row r="6">
          <cell r="B6">
            <v>92</v>
          </cell>
        </row>
        <row r="7">
          <cell r="B7">
            <v>185</v>
          </cell>
        </row>
        <row r="8">
          <cell r="B8">
            <v>66</v>
          </cell>
        </row>
        <row r="9">
          <cell r="B9">
            <v>90</v>
          </cell>
        </row>
        <row r="10">
          <cell r="B10">
            <v>76</v>
          </cell>
        </row>
        <row r="11">
          <cell r="B11">
            <v>87</v>
          </cell>
        </row>
        <row r="12">
          <cell r="B12">
            <v>58</v>
          </cell>
        </row>
        <row r="13">
          <cell r="B13">
            <v>52</v>
          </cell>
        </row>
        <row r="14">
          <cell r="B14">
            <v>49</v>
          </cell>
        </row>
        <row r="15">
          <cell r="B15">
            <v>47</v>
          </cell>
        </row>
        <row r="16">
          <cell r="B16">
            <v>66</v>
          </cell>
        </row>
      </sheetData>
      <sheetData sheetId="2">
        <row r="3">
          <cell r="B3">
            <v>286</v>
          </cell>
          <cell r="C3">
            <v>13</v>
          </cell>
        </row>
        <row r="4">
          <cell r="B4">
            <v>283</v>
          </cell>
        </row>
        <row r="5">
          <cell r="B5">
            <v>272</v>
          </cell>
          <cell r="C5">
            <v>3</v>
          </cell>
        </row>
        <row r="6">
          <cell r="B6">
            <v>135</v>
          </cell>
        </row>
        <row r="7">
          <cell r="B7">
            <v>192</v>
          </cell>
        </row>
        <row r="8">
          <cell r="B8">
            <v>177</v>
          </cell>
        </row>
        <row r="9">
          <cell r="B9">
            <v>377</v>
          </cell>
        </row>
        <row r="10">
          <cell r="B10">
            <v>52</v>
          </cell>
        </row>
        <row r="11">
          <cell r="B11">
            <v>137</v>
          </cell>
        </row>
        <row r="12">
          <cell r="B12">
            <v>72</v>
          </cell>
        </row>
        <row r="13">
          <cell r="B13">
            <v>220</v>
          </cell>
        </row>
        <row r="14">
          <cell r="B14">
            <v>239</v>
          </cell>
        </row>
        <row r="15">
          <cell r="B15">
            <v>166</v>
          </cell>
        </row>
      </sheetData>
      <sheetData sheetId="3">
        <row r="3">
          <cell r="B3">
            <v>133</v>
          </cell>
        </row>
        <row r="4">
          <cell r="B4">
            <v>89</v>
          </cell>
        </row>
        <row r="5">
          <cell r="B5">
            <v>61</v>
          </cell>
          <cell r="C5">
            <v>7</v>
          </cell>
        </row>
        <row r="6">
          <cell r="B6">
            <v>68</v>
          </cell>
          <cell r="C6">
            <v>5</v>
          </cell>
        </row>
        <row r="7">
          <cell r="B7">
            <v>84</v>
          </cell>
        </row>
        <row r="8">
          <cell r="B8">
            <v>51</v>
          </cell>
        </row>
        <row r="9">
          <cell r="B9">
            <v>111</v>
          </cell>
          <cell r="C9">
            <v>2</v>
          </cell>
        </row>
        <row r="10">
          <cell r="B10">
            <v>47</v>
          </cell>
          <cell r="C10">
            <v>3</v>
          </cell>
        </row>
        <row r="11">
          <cell r="B11">
            <v>87</v>
          </cell>
        </row>
        <row r="12">
          <cell r="B12">
            <v>45</v>
          </cell>
        </row>
        <row r="13">
          <cell r="B13">
            <v>143</v>
          </cell>
          <cell r="C13">
            <v>4</v>
          </cell>
        </row>
        <row r="14">
          <cell r="B14">
            <v>181</v>
          </cell>
        </row>
        <row r="15">
          <cell r="B15">
            <v>89</v>
          </cell>
        </row>
        <row r="16">
          <cell r="B16">
            <v>59</v>
          </cell>
        </row>
        <row r="17">
          <cell r="B17">
            <v>127</v>
          </cell>
        </row>
        <row r="18">
          <cell r="B18">
            <v>139</v>
          </cell>
          <cell r="C18">
            <v>1</v>
          </cell>
        </row>
        <row r="19">
          <cell r="B19">
            <v>30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ypesTable" displayName="TypesTable" ref="A2:J14" totalsRowShown="0" headerRowDxfId="44" dataDxfId="42" headerRowBorderDxfId="43" tableBorderDxfId="41" totalsRowBorderDxfId="40">
  <tableColumns count="10">
    <tableColumn id="2" xr3:uid="{00000000-0010-0000-0000-000002000000}" name="قطاع دمياط" dataDxfId="39"/>
    <tableColumn id="1" xr3:uid="{00000000-0010-0000-0000-000001000000}" name="Target" dataDxfId="38"/>
    <tableColumn id="6" xr3:uid="{00000000-0010-0000-0000-000006000000}" name="Done" dataDxfId="37"/>
    <tableColumn id="5" xr3:uid="{00000000-0010-0000-0000-000005000000}" name="Balance" dataDxfId="36">
      <calculatedColumnFormula>TypesTable[[#This Row],[Target]]-TypesTable[[#This Row],[Done]]</calculatedColumnFormula>
    </tableColumn>
    <tableColumn id="8" xr3:uid="{00000000-0010-0000-0000-000008000000}" name="Percentage" dataDxfId="35">
      <calculatedColumnFormula>TypesTable[[#This Row],[Done]]/TypesTable[[#This Row],[Target]]</calculatedColumnFormula>
    </tableColumn>
    <tableColumn id="12" xr3:uid="{00000000-0010-0000-0000-00000C000000}" name="weekly target" dataDxfId="34" dataCellStyle="Percent">
      <calculatedColumnFormula>TypesTable[[#This Row],[Balance]]/8</calculatedColumnFormula>
    </tableColumn>
    <tableColumn id="11" xr3:uid="{00000000-0010-0000-0000-00000B000000}" name="daily target" dataDxfId="33">
      <calculatedColumnFormula>TypesTable[[#This Row],[weekly target]]/6</calculatedColumnFormula>
    </tableColumn>
    <tableColumn id="3" xr3:uid="{ECFB3448-38B4-4CE7-8D1E-E13A09D668FE}" name="Installation Date 3-5-2026" dataDxfId="32"/>
    <tableColumn id="4" xr3:uid="{B76FF271-4C53-4C71-AFE0-73760EDC1E1B}" name="Installation Date 4-5-2026" dataDxfId="31"/>
    <tableColumn id="7" xr3:uid="{E15E8A64-EB18-4E7F-AB08-87FDB6696C0F}" name="Installation Date 5-5-2026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ypesTable3" displayName="TypesTable3" ref="A2:J29" totalsRowShown="0" headerRowDxfId="29" dataDxfId="27" headerRowBorderDxfId="28" tableBorderDxfId="26" totalsRowBorderDxfId="25">
  <tableColumns count="10">
    <tableColumn id="2" xr3:uid="{00000000-0010-0000-0100-000002000000}" name="قطاع دمياط" dataDxfId="24"/>
    <tableColumn id="1" xr3:uid="{00000000-0010-0000-0100-000001000000}" name="Target" dataDxfId="23"/>
    <tableColumn id="6" xr3:uid="{00000000-0010-0000-0100-000006000000}" name="Done" dataDxfId="22"/>
    <tableColumn id="5" xr3:uid="{00000000-0010-0000-0100-000005000000}" name="Balance" dataDxfId="21">
      <calculatedColumnFormula>#REF!-TypesTable3[[#This Row],[Done]]</calculatedColumnFormula>
    </tableColumn>
    <tableColumn id="8" xr3:uid="{00000000-0010-0000-0100-000008000000}" name="Percentage" dataDxfId="20">
      <calculatedColumnFormula>(TypesTable3[[#This Row],[Done]]/#REF!)</calculatedColumnFormula>
    </tableColumn>
    <tableColumn id="12" xr3:uid="{00000000-0010-0000-0100-00000C000000}" name="weekly target" dataDxfId="19" dataCellStyle="Percent">
      <calculatedColumnFormula>#REF!/7</calculatedColumnFormula>
    </tableColumn>
    <tableColumn id="11" xr3:uid="{00000000-0010-0000-0100-00000B000000}" name="daily target" dataDxfId="18">
      <calculatedColumnFormula>TypesTable3[[#This Row],[weekly target]]/6</calculatedColumnFormula>
    </tableColumn>
    <tableColumn id="3" xr3:uid="{5AFA5371-0215-4FED-88C2-8AE8A7C2CFF2}" name="Installation Date 3-5-2026" dataDxfId="17"/>
    <tableColumn id="4" xr3:uid="{6070B506-0D07-4E76-BC21-44D697A1FB2C}" name="Installation Date 4-5-2026" dataDxfId="16"/>
    <tableColumn id="7" xr3:uid="{517EACAA-470E-4829-8A19-82B939B152F5}" name="Installation Date 5-5-2026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ypesTable4" displayName="TypesTable4" ref="A2:J16" totalsRowShown="0" headerRowDxfId="14" dataDxfId="12" headerRowBorderDxfId="13" tableBorderDxfId="11" totalsRowBorderDxfId="10">
  <tableColumns count="10">
    <tableColumn id="2" xr3:uid="{00000000-0010-0000-0200-000002000000}" name="قطاع جنوب الدقهلية" dataDxfId="9"/>
    <tableColumn id="1" xr3:uid="{00000000-0010-0000-0200-000001000000}" name="Target" dataDxfId="8"/>
    <tableColumn id="6" xr3:uid="{00000000-0010-0000-0200-000006000000}" name="Done" dataDxfId="7"/>
    <tableColumn id="5" xr3:uid="{00000000-0010-0000-0200-000005000000}" name="Balance" dataDxfId="6">
      <calculatedColumnFormula>TypesTable4[[#This Row],[Target]]-TypesTable4[[#This Row],[Done]]</calculatedColumnFormula>
    </tableColumn>
    <tableColumn id="8" xr3:uid="{00000000-0010-0000-0200-000008000000}" name="Percentage" dataDxfId="5">
      <calculatedColumnFormula>TypesTable4[[#This Row],[Done]]/TypesTable4[[#This Row],[Target]]</calculatedColumnFormula>
    </tableColumn>
    <tableColumn id="12" xr3:uid="{00000000-0010-0000-0200-00000C000000}" name="weekly target" dataDxfId="4" dataCellStyle="Percent">
      <calculatedColumnFormula>TypesTable4[[#This Row],[Balance]]/8</calculatedColumnFormula>
    </tableColumn>
    <tableColumn id="11" xr3:uid="{00000000-0010-0000-0200-00000B000000}" name="daily target" dataDxfId="3">
      <calculatedColumnFormula>TypesTable4[[#This Row],[weekly target]]/6</calculatedColumnFormula>
    </tableColumn>
    <tableColumn id="3" xr3:uid="{2C63229F-F425-4AA5-B127-39950008F914}" name="Installation Date 3-5-2026" dataDxfId="2"/>
    <tableColumn id="4" xr3:uid="{908E3DC7-ABBB-45AC-AA18-509A62DFBC58}" name="Installation Date 4-5-2026" dataDxfId="1"/>
    <tableColumn id="7" xr3:uid="{1AF34143-4477-40FB-A0F6-A09684B37D4F}" name="Installation Date 5-5-2026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ypesTable5" displayName="TypesTable5" ref="A2:J61" totalsRowShown="0" headerRowDxfId="59" dataDxfId="57" headerRowBorderDxfId="58" tableBorderDxfId="56" totalsRowBorderDxfId="55">
  <autoFilter ref="A2:J61" xr:uid="{00000000-0009-0000-0100-000008000000}"/>
  <tableColumns count="10">
    <tableColumn id="2" xr3:uid="{00000000-0010-0000-0300-000002000000}" name="قطاع دمياط" dataDxfId="54"/>
    <tableColumn id="1" xr3:uid="{00000000-0010-0000-0300-000001000000}" name="عمود1" dataDxfId="53"/>
    <tableColumn id="6" xr3:uid="{00000000-0010-0000-0300-000006000000}" name="ملك الشركة - المنفذ" dataDxfId="52"/>
    <tableColumn id="5" xr3:uid="{00000000-0010-0000-0300-000005000000}" name="المتبقى" dataDxfId="51">
      <calculatedColumnFormula>#REF!-TypesTable5[[#This Row],[ملك الشركة - المنفذ]]</calculatedColumnFormula>
    </tableColumn>
    <tableColumn id="8" xr3:uid="{00000000-0010-0000-0300-000008000000}" name="نسبة تنفيذ" dataDxfId="50">
      <calculatedColumnFormula>(TypesTable5[[#This Row],[ملك الشركة - المنفذ]]/#REF!)</calculatedColumnFormula>
    </tableColumn>
    <tableColumn id="12" xr3:uid="{00000000-0010-0000-0300-00000C000000}" name="المستهدف - الأسبوعي" dataDxfId="49" dataCellStyle="Percent">
      <calculatedColumnFormula>#REF!/7</calculatedColumnFormula>
    </tableColumn>
    <tableColumn id="11" xr3:uid="{00000000-0010-0000-0300-00000B000000}" name="المستهدف اليومي" dataDxfId="48">
      <calculatedColumnFormula>TypesTable5[[#This Row],[المستهدف - الأسبوعي]]/6</calculatedColumnFormula>
    </tableColumn>
    <tableColumn id="3" xr3:uid="{48E127CC-F4ED-471D-8049-3331D7F9E732}" name="Column1" dataDxfId="47"/>
    <tableColumn id="9" xr3:uid="{8D0B1A3D-C692-4C12-B395-4689362A92A5}" name="Column2" dataDxfId="46"/>
    <tableColumn id="10" xr3:uid="{84243B78-7CD2-443F-B2E1-6FA2892CA8AB}" name="Column3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rightToLeft="1" workbookViewId="0">
      <selection activeCell="B3" sqref="B3:B14"/>
    </sheetView>
  </sheetViews>
  <sheetFormatPr defaultColWidth="9" defaultRowHeight="15" x14ac:dyDescent="0.25"/>
  <cols>
    <col min="1" max="1" width="28.85546875" style="11" bestFit="1" customWidth="1"/>
    <col min="2" max="2" width="9.7109375" style="11" bestFit="1" customWidth="1"/>
    <col min="3" max="3" width="7.7109375" style="1" bestFit="1" customWidth="1"/>
    <col min="4" max="4" width="11.5703125" style="1" bestFit="1" customWidth="1"/>
    <col min="5" max="5" width="16.140625" style="1" bestFit="1" customWidth="1"/>
    <col min="6" max="6" width="19" style="1" bestFit="1" customWidth="1"/>
    <col min="7" max="7" width="15.85546875" style="1" bestFit="1" customWidth="1"/>
    <col min="8" max="10" width="34.5703125" style="1" bestFit="1" customWidth="1"/>
    <col min="11" max="16384" width="9" style="1"/>
  </cols>
  <sheetData>
    <row r="1" spans="1:10" ht="33.75" x14ac:dyDescent="0.25">
      <c r="A1" s="32" t="s">
        <v>79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3" customFormat="1" ht="19.5" x14ac:dyDescent="0.25">
      <c r="A2" s="12" t="s">
        <v>0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28" t="s">
        <v>77</v>
      </c>
      <c r="I2" s="28" t="s">
        <v>76</v>
      </c>
      <c r="J2" s="28" t="s">
        <v>78</v>
      </c>
    </row>
    <row r="3" spans="1:10" x14ac:dyDescent="0.25">
      <c r="A3" s="3" t="s">
        <v>6</v>
      </c>
      <c r="B3" s="4">
        <v>310</v>
      </c>
      <c r="C3" s="4">
        <v>0</v>
      </c>
      <c r="D3" s="4">
        <f>TypesTable[[#This Row],[Target]]-TypesTable[[#This Row],[Done]]</f>
        <v>310</v>
      </c>
      <c r="E3" s="5">
        <f>TypesTable[[#This Row],[Done]]/TypesTable[[#This Row],[Target]]</f>
        <v>0</v>
      </c>
      <c r="F3" s="6">
        <f>TypesTable[[#This Row],[Balance]]/8</f>
        <v>38.75</v>
      </c>
      <c r="G3" s="6">
        <f>TypesTable[[#This Row],[weekly target]]/6</f>
        <v>6.458333333333333</v>
      </c>
      <c r="H3" s="6">
        <v>0</v>
      </c>
      <c r="I3" s="6">
        <v>11</v>
      </c>
      <c r="J3" s="6">
        <v>0</v>
      </c>
    </row>
    <row r="4" spans="1:10" x14ac:dyDescent="0.25">
      <c r="A4" s="3" t="s">
        <v>7</v>
      </c>
      <c r="B4" s="4">
        <v>535</v>
      </c>
      <c r="C4" s="4">
        <v>86</v>
      </c>
      <c r="D4" s="4">
        <f>TypesTable[[#This Row],[Target]]-TypesTable[[#This Row],[Done]]</f>
        <v>449</v>
      </c>
      <c r="E4" s="5">
        <f>TypesTable[[#This Row],[Done]]/TypesTable[[#This Row],[Target]]</f>
        <v>0.16074766355140188</v>
      </c>
      <c r="F4" s="6">
        <f>TypesTable[[#This Row],[Balance]]/8</f>
        <v>56.125</v>
      </c>
      <c r="G4" s="6">
        <f>TypesTable[[#This Row],[weekly target]]/6</f>
        <v>9.3541666666666661</v>
      </c>
      <c r="H4" s="6">
        <v>0</v>
      </c>
      <c r="I4" s="6">
        <v>1</v>
      </c>
      <c r="J4" s="6">
        <v>0</v>
      </c>
    </row>
    <row r="5" spans="1:10" x14ac:dyDescent="0.25">
      <c r="A5" s="3" t="s">
        <v>8</v>
      </c>
      <c r="B5" s="4">
        <v>250</v>
      </c>
      <c r="C5" s="4">
        <v>0</v>
      </c>
      <c r="D5" s="4">
        <f>TypesTable[[#This Row],[Target]]-TypesTable[[#This Row],[Done]]</f>
        <v>250</v>
      </c>
      <c r="E5" s="5">
        <f>TypesTable[[#This Row],[Done]]/TypesTable[[#This Row],[Target]]</f>
        <v>0</v>
      </c>
      <c r="F5" s="6">
        <f>TypesTable[[#This Row],[Balance]]/8</f>
        <v>31.25</v>
      </c>
      <c r="G5" s="6">
        <f>TypesTable[[#This Row],[weekly target]]/6</f>
        <v>5.208333333333333</v>
      </c>
      <c r="H5" s="6">
        <v>0</v>
      </c>
      <c r="I5" s="6">
        <v>0</v>
      </c>
      <c r="J5" s="6">
        <v>0</v>
      </c>
    </row>
    <row r="6" spans="1:10" x14ac:dyDescent="0.25">
      <c r="A6" s="3" t="s">
        <v>9</v>
      </c>
      <c r="B6" s="4">
        <v>95</v>
      </c>
      <c r="C6" s="4">
        <v>10</v>
      </c>
      <c r="D6" s="4">
        <f>TypesTable[[#This Row],[Target]]-TypesTable[[#This Row],[Done]]</f>
        <v>85</v>
      </c>
      <c r="E6" s="5">
        <f>TypesTable[[#This Row],[Done]]/TypesTable[[#This Row],[Target]]</f>
        <v>0.10526315789473684</v>
      </c>
      <c r="F6" s="6">
        <f>TypesTable[[#This Row],[Balance]]/8</f>
        <v>10.625</v>
      </c>
      <c r="G6" s="6">
        <f>TypesTable[[#This Row],[weekly target]]/6</f>
        <v>1.7708333333333333</v>
      </c>
      <c r="H6" s="6">
        <v>0</v>
      </c>
      <c r="I6" s="6">
        <v>0</v>
      </c>
      <c r="J6" s="6">
        <v>0</v>
      </c>
    </row>
    <row r="7" spans="1:10" x14ac:dyDescent="0.25">
      <c r="A7" s="3" t="s">
        <v>10</v>
      </c>
      <c r="B7" s="4">
        <v>829</v>
      </c>
      <c r="C7" s="4">
        <v>0</v>
      </c>
      <c r="D7" s="4">
        <f>TypesTable[[#This Row],[Target]]-TypesTable[[#This Row],[Done]]</f>
        <v>829</v>
      </c>
      <c r="E7" s="5">
        <f>TypesTable[[#This Row],[Done]]/TypesTable[[#This Row],[Target]]</f>
        <v>0</v>
      </c>
      <c r="F7" s="6">
        <f>TypesTable[[#This Row],[Balance]]/8</f>
        <v>103.625</v>
      </c>
      <c r="G7" s="6">
        <f>TypesTable[[#This Row],[weekly target]]/6</f>
        <v>17.270833333333332</v>
      </c>
      <c r="H7" s="6">
        <v>0</v>
      </c>
      <c r="I7" s="6">
        <v>0</v>
      </c>
      <c r="J7" s="6">
        <v>0</v>
      </c>
    </row>
    <row r="8" spans="1:10" x14ac:dyDescent="0.25">
      <c r="A8" s="3" t="s">
        <v>11</v>
      </c>
      <c r="B8" s="4">
        <v>232</v>
      </c>
      <c r="C8" s="4">
        <v>10</v>
      </c>
      <c r="D8" s="4">
        <f>TypesTable[[#This Row],[Target]]-TypesTable[[#This Row],[Done]]</f>
        <v>222</v>
      </c>
      <c r="E8" s="5">
        <f>TypesTable[[#This Row],[Done]]/TypesTable[[#This Row],[Target]]</f>
        <v>4.3103448275862072E-2</v>
      </c>
      <c r="F8" s="6">
        <f>TypesTable[[#This Row],[Balance]]/8</f>
        <v>27.75</v>
      </c>
      <c r="G8" s="6">
        <f>TypesTable[[#This Row],[weekly target]]/6</f>
        <v>4.625</v>
      </c>
      <c r="H8" s="6">
        <v>0</v>
      </c>
      <c r="I8" s="6">
        <v>0</v>
      </c>
      <c r="J8" s="6">
        <v>0</v>
      </c>
    </row>
    <row r="9" spans="1:10" x14ac:dyDescent="0.25">
      <c r="A9" s="3" t="s">
        <v>12</v>
      </c>
      <c r="B9" s="4">
        <v>162</v>
      </c>
      <c r="C9" s="4">
        <v>0</v>
      </c>
      <c r="D9" s="4">
        <f>TypesTable[[#This Row],[Target]]-TypesTable[[#This Row],[Done]]</f>
        <v>162</v>
      </c>
      <c r="E9" s="5">
        <f>TypesTable[[#This Row],[Done]]/TypesTable[[#This Row],[Target]]</f>
        <v>0</v>
      </c>
      <c r="F9" s="6">
        <f>TypesTable[[#This Row],[Balance]]/8</f>
        <v>20.25</v>
      </c>
      <c r="G9" s="6">
        <f>TypesTable[[#This Row],[weekly target]]/6</f>
        <v>3.375</v>
      </c>
      <c r="H9" s="6">
        <v>0</v>
      </c>
      <c r="I9" s="6">
        <v>0</v>
      </c>
      <c r="J9" s="6">
        <v>0</v>
      </c>
    </row>
    <row r="10" spans="1:10" x14ac:dyDescent="0.25">
      <c r="A10" s="3" t="s">
        <v>13</v>
      </c>
      <c r="B10" s="4">
        <v>434</v>
      </c>
      <c r="C10" s="4">
        <v>7</v>
      </c>
      <c r="D10" s="4">
        <f>TypesTable[[#This Row],[Target]]-TypesTable[[#This Row],[Done]]</f>
        <v>427</v>
      </c>
      <c r="E10" s="5">
        <f>TypesTable[[#This Row],[Done]]/TypesTable[[#This Row],[Target]]</f>
        <v>1.6129032258064516E-2</v>
      </c>
      <c r="F10" s="6">
        <f>TypesTable[[#This Row],[Balance]]/8</f>
        <v>53.375</v>
      </c>
      <c r="G10" s="6">
        <f>TypesTable[[#This Row],[weekly target]]/6</f>
        <v>8.8958333333333339</v>
      </c>
      <c r="H10" s="6">
        <v>0</v>
      </c>
      <c r="I10" s="6">
        <v>0</v>
      </c>
      <c r="J10" s="6">
        <v>0</v>
      </c>
    </row>
    <row r="11" spans="1:10" x14ac:dyDescent="0.25">
      <c r="A11" s="3" t="s">
        <v>14</v>
      </c>
      <c r="B11" s="4">
        <v>369</v>
      </c>
      <c r="C11" s="4">
        <v>14</v>
      </c>
      <c r="D11" s="4">
        <f>TypesTable[[#This Row],[Target]]-TypesTable[[#This Row],[Done]]</f>
        <v>355</v>
      </c>
      <c r="E11" s="5">
        <f>TypesTable[[#This Row],[Done]]/TypesTable[[#This Row],[Target]]</f>
        <v>3.7940379403794036E-2</v>
      </c>
      <c r="F11" s="6">
        <f>TypesTable[[#This Row],[Balance]]/8</f>
        <v>44.375</v>
      </c>
      <c r="G11" s="6">
        <f>TypesTable[[#This Row],[weekly target]]/6</f>
        <v>7.395833333333333</v>
      </c>
      <c r="H11" s="6">
        <v>0</v>
      </c>
      <c r="I11" s="6">
        <v>0</v>
      </c>
      <c r="J11" s="6">
        <v>0</v>
      </c>
    </row>
    <row r="12" spans="1:10" x14ac:dyDescent="0.25">
      <c r="A12" s="3" t="s">
        <v>15</v>
      </c>
      <c r="B12" s="4">
        <v>281</v>
      </c>
      <c r="C12" s="4">
        <v>10</v>
      </c>
      <c r="D12" s="4">
        <f>TypesTable[[#This Row],[Target]]-TypesTable[[#This Row],[Done]]</f>
        <v>271</v>
      </c>
      <c r="E12" s="5">
        <f>TypesTable[[#This Row],[Done]]/TypesTable[[#This Row],[Target]]</f>
        <v>3.5587188612099648E-2</v>
      </c>
      <c r="F12" s="6">
        <f>TypesTable[[#This Row],[Balance]]/8</f>
        <v>33.875</v>
      </c>
      <c r="G12" s="6">
        <f>TypesTable[[#This Row],[weekly target]]/6</f>
        <v>5.645833333333333</v>
      </c>
      <c r="H12" s="6">
        <v>0</v>
      </c>
      <c r="I12" s="6">
        <v>0</v>
      </c>
      <c r="J12" s="6">
        <v>0</v>
      </c>
    </row>
    <row r="13" spans="1:10" x14ac:dyDescent="0.25">
      <c r="A13" s="3" t="s">
        <v>16</v>
      </c>
      <c r="B13" s="4">
        <v>299</v>
      </c>
      <c r="C13" s="4">
        <v>11</v>
      </c>
      <c r="D13" s="4">
        <f>TypesTable[[#This Row],[Target]]-TypesTable[[#This Row],[Done]]</f>
        <v>288</v>
      </c>
      <c r="E13" s="5">
        <f>TypesTable[[#This Row],[Done]]/TypesTable[[#This Row],[Target]]</f>
        <v>3.678929765886288E-2</v>
      </c>
      <c r="F13" s="6">
        <f>TypesTable[[#This Row],[Balance]]/8</f>
        <v>36</v>
      </c>
      <c r="G13" s="6">
        <f>TypesTable[[#This Row],[weekly target]]/6</f>
        <v>6</v>
      </c>
      <c r="H13" s="6">
        <v>0</v>
      </c>
      <c r="I13" s="6">
        <v>0</v>
      </c>
      <c r="J13" s="6">
        <v>0</v>
      </c>
    </row>
    <row r="14" spans="1:10" ht="20.25" x14ac:dyDescent="0.25">
      <c r="A14" s="7" t="s">
        <v>17</v>
      </c>
      <c r="B14" s="8">
        <f>SUBTOTAL(109,B3:B13)</f>
        <v>3796</v>
      </c>
      <c r="C14" s="8">
        <f>SUBTOTAL(109,C3:C13)</f>
        <v>148</v>
      </c>
      <c r="D14" s="8">
        <f>TypesTable[[#This Row],[Target]]-TypesTable[[#This Row],[Done]]</f>
        <v>3648</v>
      </c>
      <c r="E14" s="9">
        <f>TypesTable[[#This Row],[Done]]/TypesTable[[#This Row],[Target]]</f>
        <v>3.8988408851422553E-2</v>
      </c>
      <c r="F14" s="10">
        <f>TypesTable[[#This Row],[Balance]]/8</f>
        <v>456</v>
      </c>
      <c r="G14" s="10">
        <f>TypesTable[[#This Row],[weekly target]]/6</f>
        <v>76</v>
      </c>
      <c r="H14" s="10">
        <v>0</v>
      </c>
      <c r="I14" s="10">
        <v>12</v>
      </c>
      <c r="J14" s="10">
        <v>0</v>
      </c>
    </row>
  </sheetData>
  <mergeCells count="1">
    <mergeCell ref="A1:J1"/>
  </mergeCells>
  <phoneticPr fontId="1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rightToLeft="1" workbookViewId="0">
      <selection activeCell="B15" sqref="B15:B29"/>
    </sheetView>
  </sheetViews>
  <sheetFormatPr defaultColWidth="9" defaultRowHeight="15" x14ac:dyDescent="0.25"/>
  <cols>
    <col min="1" max="1" width="30.28515625" style="1" bestFit="1" customWidth="1"/>
    <col min="2" max="2" width="10.42578125" style="1" bestFit="1" customWidth="1"/>
    <col min="3" max="3" width="16.42578125" style="1" bestFit="1" customWidth="1"/>
    <col min="4" max="4" width="8.140625" style="1" bestFit="1" customWidth="1"/>
    <col min="5" max="5" width="10.28515625" style="1" bestFit="1" customWidth="1"/>
    <col min="6" max="6" width="22.5703125" style="1" bestFit="1" customWidth="1"/>
    <col min="7" max="7" width="17.5703125" style="1" bestFit="1" customWidth="1"/>
    <col min="8" max="10" width="18.140625" style="1" bestFit="1" customWidth="1"/>
    <col min="11" max="16384" width="9" style="1"/>
  </cols>
  <sheetData>
    <row r="1" spans="1:10" ht="33.75" x14ac:dyDescent="0.25">
      <c r="A1" s="32" t="s">
        <v>79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2" customFormat="1" ht="19.5" hidden="1" customHeight="1" x14ac:dyDescent="0.25">
      <c r="A2" s="12" t="s">
        <v>0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28" t="s">
        <v>77</v>
      </c>
      <c r="I2" s="28" t="s">
        <v>76</v>
      </c>
      <c r="J2" s="28" t="s">
        <v>78</v>
      </c>
    </row>
    <row r="3" spans="1:10" hidden="1" x14ac:dyDescent="0.25">
      <c r="A3" s="15" t="s">
        <v>6</v>
      </c>
      <c r="B3" s="15"/>
      <c r="C3" s="15">
        <v>0</v>
      </c>
      <c r="D3" s="15" t="e">
        <f>#REF!-TypesTable3[[#This Row],[Done]]</f>
        <v>#REF!</v>
      </c>
      <c r="E3" s="16" t="e">
        <f>(TypesTable3[[#This Row],[Done]]/#REF!)</f>
        <v>#REF!</v>
      </c>
      <c r="F3" s="17" t="e">
        <f>#REF!/7</f>
        <v>#REF!</v>
      </c>
      <c r="G3" s="17" t="e">
        <f>TypesTable3[[#This Row],[weekly target]]/6</f>
        <v>#REF!</v>
      </c>
      <c r="H3" s="27"/>
      <c r="I3" s="27"/>
      <c r="J3" s="27"/>
    </row>
    <row r="4" spans="1:10" hidden="1" x14ac:dyDescent="0.25">
      <c r="A4" s="15" t="s">
        <v>7</v>
      </c>
      <c r="B4" s="15"/>
      <c r="C4" s="15">
        <v>86</v>
      </c>
      <c r="D4" s="15" t="e">
        <f>#REF!-TypesTable3[[#This Row],[Done]]</f>
        <v>#REF!</v>
      </c>
      <c r="E4" s="16" t="e">
        <f>(TypesTable3[[#This Row],[Done]]/#REF!)</f>
        <v>#REF!</v>
      </c>
      <c r="F4" s="17" t="e">
        <f>#REF!/7</f>
        <v>#REF!</v>
      </c>
      <c r="G4" s="17" t="e">
        <f>TypesTable3[[#This Row],[weekly target]]/6</f>
        <v>#REF!</v>
      </c>
      <c r="H4" s="27"/>
      <c r="I4" s="27"/>
      <c r="J4" s="27"/>
    </row>
    <row r="5" spans="1:10" hidden="1" x14ac:dyDescent="0.25">
      <c r="A5" s="15" t="s">
        <v>8</v>
      </c>
      <c r="B5" s="15"/>
      <c r="C5" s="15">
        <v>0</v>
      </c>
      <c r="D5" s="15" t="e">
        <f>#REF!-TypesTable3[[#This Row],[Done]]</f>
        <v>#REF!</v>
      </c>
      <c r="E5" s="16" t="e">
        <f>(TypesTable3[[#This Row],[Done]]/#REF!)</f>
        <v>#REF!</v>
      </c>
      <c r="F5" s="17" t="e">
        <f>#REF!/7</f>
        <v>#REF!</v>
      </c>
      <c r="G5" s="17" t="e">
        <f>TypesTable3[[#This Row],[weekly target]]/6</f>
        <v>#REF!</v>
      </c>
      <c r="H5" s="27"/>
      <c r="I5" s="27"/>
      <c r="J5" s="27"/>
    </row>
    <row r="6" spans="1:10" hidden="1" x14ac:dyDescent="0.25">
      <c r="A6" s="15" t="s">
        <v>9</v>
      </c>
      <c r="B6" s="15"/>
      <c r="C6" s="15">
        <v>10</v>
      </c>
      <c r="D6" s="15" t="e">
        <f>#REF!-TypesTable3[[#This Row],[Done]]</f>
        <v>#REF!</v>
      </c>
      <c r="E6" s="16" t="e">
        <f>(TypesTable3[[#This Row],[Done]]/#REF!)</f>
        <v>#REF!</v>
      </c>
      <c r="F6" s="17" t="e">
        <f>#REF!/7</f>
        <v>#REF!</v>
      </c>
      <c r="G6" s="17" t="e">
        <f>TypesTable3[[#This Row],[weekly target]]/6</f>
        <v>#REF!</v>
      </c>
      <c r="H6" s="27"/>
      <c r="I6" s="27"/>
      <c r="J6" s="27"/>
    </row>
    <row r="7" spans="1:10" hidden="1" x14ac:dyDescent="0.25">
      <c r="A7" s="15" t="s">
        <v>10</v>
      </c>
      <c r="B7" s="15"/>
      <c r="C7" s="15">
        <v>0</v>
      </c>
      <c r="D7" s="15" t="e">
        <f>#REF!-TypesTable3[[#This Row],[Done]]</f>
        <v>#REF!</v>
      </c>
      <c r="E7" s="16" t="e">
        <f>(TypesTable3[[#This Row],[Done]]/#REF!)</f>
        <v>#REF!</v>
      </c>
      <c r="F7" s="17" t="e">
        <f>#REF!/7</f>
        <v>#REF!</v>
      </c>
      <c r="G7" s="17" t="e">
        <f>TypesTable3[[#This Row],[weekly target]]/6</f>
        <v>#REF!</v>
      </c>
      <c r="H7" s="27"/>
      <c r="I7" s="27"/>
      <c r="J7" s="27"/>
    </row>
    <row r="8" spans="1:10" hidden="1" x14ac:dyDescent="0.25">
      <c r="A8" s="15" t="s">
        <v>11</v>
      </c>
      <c r="B8" s="15"/>
      <c r="C8" s="15">
        <v>10</v>
      </c>
      <c r="D8" s="15" t="e">
        <f>#REF!-TypesTable3[[#This Row],[Done]]</f>
        <v>#REF!</v>
      </c>
      <c r="E8" s="16" t="e">
        <f>(TypesTable3[[#This Row],[Done]]/#REF!)</f>
        <v>#REF!</v>
      </c>
      <c r="F8" s="17" t="e">
        <f>#REF!/7</f>
        <v>#REF!</v>
      </c>
      <c r="G8" s="17" t="e">
        <f>TypesTable3[[#This Row],[weekly target]]/6</f>
        <v>#REF!</v>
      </c>
      <c r="H8" s="27"/>
      <c r="I8" s="27"/>
      <c r="J8" s="27"/>
    </row>
    <row r="9" spans="1:10" hidden="1" x14ac:dyDescent="0.25">
      <c r="A9" s="15" t="s">
        <v>12</v>
      </c>
      <c r="B9" s="15"/>
      <c r="C9" s="15">
        <v>0</v>
      </c>
      <c r="D9" s="15" t="e">
        <f>#REF!-TypesTable3[[#This Row],[Done]]</f>
        <v>#REF!</v>
      </c>
      <c r="E9" s="16" t="e">
        <f>(TypesTable3[[#This Row],[Done]]/#REF!)</f>
        <v>#REF!</v>
      </c>
      <c r="F9" s="17" t="e">
        <f>#REF!/7</f>
        <v>#REF!</v>
      </c>
      <c r="G9" s="17" t="e">
        <f>TypesTable3[[#This Row],[weekly target]]/6</f>
        <v>#REF!</v>
      </c>
      <c r="H9" s="27"/>
      <c r="I9" s="27"/>
      <c r="J9" s="27"/>
    </row>
    <row r="10" spans="1:10" hidden="1" x14ac:dyDescent="0.25">
      <c r="A10" s="15" t="s">
        <v>13</v>
      </c>
      <c r="B10" s="15"/>
      <c r="C10" s="15">
        <v>7</v>
      </c>
      <c r="D10" s="15" t="e">
        <f>#REF!-TypesTable3[[#This Row],[Done]]</f>
        <v>#REF!</v>
      </c>
      <c r="E10" s="16" t="e">
        <f>(TypesTable3[[#This Row],[Done]]/#REF!)</f>
        <v>#REF!</v>
      </c>
      <c r="F10" s="17" t="e">
        <f>#REF!/7</f>
        <v>#REF!</v>
      </c>
      <c r="G10" s="17" t="e">
        <f>TypesTable3[[#This Row],[weekly target]]/6</f>
        <v>#REF!</v>
      </c>
      <c r="H10" s="27"/>
      <c r="I10" s="27"/>
      <c r="J10" s="27"/>
    </row>
    <row r="11" spans="1:10" hidden="1" x14ac:dyDescent="0.25">
      <c r="A11" s="15" t="s">
        <v>14</v>
      </c>
      <c r="B11" s="15"/>
      <c r="C11" s="15">
        <v>14</v>
      </c>
      <c r="D11" s="15" t="e">
        <f>#REF!-TypesTable3[[#This Row],[Done]]</f>
        <v>#REF!</v>
      </c>
      <c r="E11" s="16" t="e">
        <f>(TypesTable3[[#This Row],[Done]]/#REF!)</f>
        <v>#REF!</v>
      </c>
      <c r="F11" s="17" t="e">
        <f>#REF!/7</f>
        <v>#REF!</v>
      </c>
      <c r="G11" s="17" t="e">
        <f>TypesTable3[[#This Row],[weekly target]]/6</f>
        <v>#REF!</v>
      </c>
      <c r="H11" s="27"/>
      <c r="I11" s="27"/>
      <c r="J11" s="27"/>
    </row>
    <row r="12" spans="1:10" hidden="1" x14ac:dyDescent="0.25">
      <c r="A12" s="15" t="s">
        <v>15</v>
      </c>
      <c r="B12" s="15"/>
      <c r="C12" s="15">
        <v>10</v>
      </c>
      <c r="D12" s="15" t="e">
        <f>#REF!-TypesTable3[[#This Row],[Done]]</f>
        <v>#REF!</v>
      </c>
      <c r="E12" s="16" t="e">
        <f>(TypesTable3[[#This Row],[Done]]/#REF!)</f>
        <v>#REF!</v>
      </c>
      <c r="F12" s="17" t="e">
        <f>#REF!/7</f>
        <v>#REF!</v>
      </c>
      <c r="G12" s="17" t="e">
        <f>TypesTable3[[#This Row],[weekly target]]/6</f>
        <v>#REF!</v>
      </c>
      <c r="H12" s="27"/>
      <c r="I12" s="27"/>
      <c r="J12" s="27"/>
    </row>
    <row r="13" spans="1:10" hidden="1" x14ac:dyDescent="0.25">
      <c r="A13" s="15" t="s">
        <v>16</v>
      </c>
      <c r="B13" s="15"/>
      <c r="C13" s="15">
        <v>11</v>
      </c>
      <c r="D13" s="15" t="e">
        <f>#REF!-TypesTable3[[#This Row],[Done]]</f>
        <v>#REF!</v>
      </c>
      <c r="E13" s="16" t="e">
        <f>(TypesTable3[[#This Row],[Done]]/#REF!)</f>
        <v>#REF!</v>
      </c>
      <c r="F13" s="17" t="e">
        <f>#REF!/7</f>
        <v>#REF!</v>
      </c>
      <c r="G13" s="17" t="e">
        <f>TypesTable3[[#This Row],[weekly target]]/6</f>
        <v>#REF!</v>
      </c>
      <c r="H13" s="27"/>
      <c r="I13" s="27"/>
      <c r="J13" s="27"/>
    </row>
    <row r="14" spans="1:10" ht="20.25" x14ac:dyDescent="0.25">
      <c r="A14" s="18" t="s">
        <v>19</v>
      </c>
      <c r="B14" s="12" t="s">
        <v>70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28" t="s">
        <v>77</v>
      </c>
      <c r="I14" s="28" t="s">
        <v>76</v>
      </c>
      <c r="J14" s="28" t="s">
        <v>78</v>
      </c>
    </row>
    <row r="15" spans="1:10" s="22" customFormat="1" ht="15.75" x14ac:dyDescent="0.25">
      <c r="A15" s="19" t="s">
        <v>20</v>
      </c>
      <c r="B15" s="19">
        <f>120+'[1]شمال الدقهلية'!$B$3</f>
        <v>193</v>
      </c>
      <c r="C15" s="19">
        <v>101</v>
      </c>
      <c r="D15" s="19">
        <f>TypesTable3[[#This Row],[Target]]-TypesTable3[[#This Row],[Done]]</f>
        <v>92</v>
      </c>
      <c r="E15" s="20">
        <f>(TypesTable3[[#This Row],[Done]]/TypesTable3[[#This Row],[Target]])</f>
        <v>0.52331606217616577</v>
      </c>
      <c r="F15" s="21">
        <f>TypesTable3[[#This Row],[Balance]]/8</f>
        <v>11.5</v>
      </c>
      <c r="G15" s="21">
        <f>TypesTable3[[#This Row],[weekly target]]/6</f>
        <v>1.9166666666666667</v>
      </c>
      <c r="H15" s="21">
        <v>0</v>
      </c>
      <c r="I15" s="21">
        <v>6</v>
      </c>
      <c r="J15" s="21">
        <v>2</v>
      </c>
    </row>
    <row r="16" spans="1:10" s="22" customFormat="1" ht="15.75" x14ac:dyDescent="0.25">
      <c r="A16" s="19" t="s">
        <v>21</v>
      </c>
      <c r="B16" s="19">
        <f>194+'[1]شمال الدقهلية'!$B$4</f>
        <v>324</v>
      </c>
      <c r="C16" s="19">
        <v>184</v>
      </c>
      <c r="D16" s="19">
        <f>TypesTable3[[#This Row],[Target]]-TypesTable3[[#This Row],[Done]]</f>
        <v>140</v>
      </c>
      <c r="E16" s="20">
        <f>(TypesTable3[[#This Row],[Done]]/TypesTable3[[#This Row],[Target]])</f>
        <v>0.5679012345679012</v>
      </c>
      <c r="F16" s="21">
        <f>TypesTable3[[#This Row],[Balance]]/8</f>
        <v>17.5</v>
      </c>
      <c r="G16" s="21">
        <f>TypesTable3[[#This Row],[weekly target]]/6</f>
        <v>2.9166666666666665</v>
      </c>
      <c r="H16" s="21">
        <v>0</v>
      </c>
      <c r="I16" s="21">
        <v>0</v>
      </c>
      <c r="J16" s="21">
        <v>0</v>
      </c>
    </row>
    <row r="17" spans="1:10" s="22" customFormat="1" ht="15.75" x14ac:dyDescent="0.25">
      <c r="A17" s="19" t="s">
        <v>22</v>
      </c>
      <c r="B17" s="19">
        <f>179+'[1]شمال الدقهلية'!$B$5</f>
        <v>271</v>
      </c>
      <c r="C17" s="19">
        <f>213+'[1]شمال الدقهلية'!$C$5</f>
        <v>216</v>
      </c>
      <c r="D17" s="19">
        <f>TypesTable3[[#This Row],[Target]]-TypesTable3[[#This Row],[Done]]</f>
        <v>55</v>
      </c>
      <c r="E17" s="20">
        <f>(TypesTable3[[#This Row],[Done]]/TypesTable3[[#This Row],[Target]])</f>
        <v>0.79704797047970477</v>
      </c>
      <c r="F17" s="21">
        <f>TypesTable3[[#This Row],[Balance]]/8</f>
        <v>6.875</v>
      </c>
      <c r="G17" s="21">
        <f>TypesTable3[[#This Row],[weekly target]]/6</f>
        <v>1.1458333333333333</v>
      </c>
      <c r="H17" s="21">
        <v>1</v>
      </c>
      <c r="I17" s="21">
        <v>0</v>
      </c>
      <c r="J17" s="21">
        <v>0</v>
      </c>
    </row>
    <row r="18" spans="1:10" s="22" customFormat="1" ht="15.75" x14ac:dyDescent="0.25">
      <c r="A18" s="19" t="s">
        <v>23</v>
      </c>
      <c r="B18" s="19">
        <f>148+'[1]شمال الدقهلية'!$B$6</f>
        <v>240</v>
      </c>
      <c r="C18" s="19">
        <v>60</v>
      </c>
      <c r="D18" s="19">
        <f>TypesTable3[[#This Row],[Target]]-TypesTable3[[#This Row],[Done]]</f>
        <v>180</v>
      </c>
      <c r="E18" s="20">
        <f>(TypesTable3[[#This Row],[Done]]/TypesTable3[[#This Row],[Target]])</f>
        <v>0.25</v>
      </c>
      <c r="F18" s="21">
        <f>TypesTable3[[#This Row],[Balance]]/8</f>
        <v>22.5</v>
      </c>
      <c r="G18" s="21">
        <f>TypesTable3[[#This Row],[weekly target]]/6</f>
        <v>3.75</v>
      </c>
      <c r="H18" s="21">
        <v>1</v>
      </c>
      <c r="I18" s="21">
        <v>7</v>
      </c>
      <c r="J18" s="21">
        <v>0</v>
      </c>
    </row>
    <row r="19" spans="1:10" s="22" customFormat="1" ht="15.75" x14ac:dyDescent="0.25">
      <c r="A19" s="19" t="s">
        <v>24</v>
      </c>
      <c r="B19" s="19">
        <f>236+'[1]شمال الدقهلية'!$B$7</f>
        <v>421</v>
      </c>
      <c r="C19" s="19">
        <v>176</v>
      </c>
      <c r="D19" s="19">
        <f>TypesTable3[[#This Row],[Target]]-TypesTable3[[#This Row],[Done]]</f>
        <v>245</v>
      </c>
      <c r="E19" s="20">
        <f>(TypesTable3[[#This Row],[Done]]/TypesTable3[[#This Row],[Target]])</f>
        <v>0.41805225653206651</v>
      </c>
      <c r="F19" s="21">
        <f>TypesTable3[[#This Row],[Balance]]/8</f>
        <v>30.625</v>
      </c>
      <c r="G19" s="21">
        <f>TypesTable3[[#This Row],[weekly target]]/6</f>
        <v>5.104166666666667</v>
      </c>
      <c r="H19" s="21">
        <v>1</v>
      </c>
      <c r="I19" s="21">
        <v>1</v>
      </c>
      <c r="J19" s="21">
        <v>1</v>
      </c>
    </row>
    <row r="20" spans="1:10" s="22" customFormat="1" ht="15.75" x14ac:dyDescent="0.25">
      <c r="A20" s="19" t="s">
        <v>25</v>
      </c>
      <c r="B20" s="19">
        <f>157+'[1]شمال الدقهلية'!$B$8</f>
        <v>223</v>
      </c>
      <c r="C20" s="19">
        <v>137</v>
      </c>
      <c r="D20" s="19">
        <f>TypesTable3[[#This Row],[Target]]-TypesTable3[[#This Row],[Done]]</f>
        <v>86</v>
      </c>
      <c r="E20" s="20">
        <f>(TypesTable3[[#This Row],[Done]]/TypesTable3[[#This Row],[Target]])</f>
        <v>0.61434977578475336</v>
      </c>
      <c r="F20" s="21">
        <f>TypesTable3[[#This Row],[Balance]]/8</f>
        <v>10.75</v>
      </c>
      <c r="G20" s="21">
        <f>TypesTable3[[#This Row],[weekly target]]/6</f>
        <v>1.7916666666666667</v>
      </c>
      <c r="H20" s="21">
        <v>5</v>
      </c>
      <c r="I20" s="21">
        <v>3</v>
      </c>
      <c r="J20" s="21">
        <v>0</v>
      </c>
    </row>
    <row r="21" spans="1:10" s="22" customFormat="1" ht="15.75" x14ac:dyDescent="0.25">
      <c r="A21" s="19" t="s">
        <v>26</v>
      </c>
      <c r="B21" s="19">
        <f>274+'[1]شمال الدقهلية'!$B$9</f>
        <v>364</v>
      </c>
      <c r="C21" s="19">
        <v>104</v>
      </c>
      <c r="D21" s="19">
        <f>TypesTable3[[#This Row],[Target]]-TypesTable3[[#This Row],[Done]]</f>
        <v>260</v>
      </c>
      <c r="E21" s="20">
        <f>(TypesTable3[[#This Row],[Done]]/TypesTable3[[#This Row],[Target]])</f>
        <v>0.2857142857142857</v>
      </c>
      <c r="F21" s="21">
        <f>TypesTable3[[#This Row],[Balance]]/8</f>
        <v>32.5</v>
      </c>
      <c r="G21" s="21">
        <f>TypesTable3[[#This Row],[weekly target]]/6</f>
        <v>5.416666666666667</v>
      </c>
      <c r="H21" s="21">
        <v>0</v>
      </c>
      <c r="I21" s="21">
        <v>0</v>
      </c>
      <c r="J21" s="21">
        <v>0</v>
      </c>
    </row>
    <row r="22" spans="1:10" s="22" customFormat="1" ht="15.75" x14ac:dyDescent="0.25">
      <c r="A22" s="19" t="s">
        <v>27</v>
      </c>
      <c r="B22" s="19">
        <f>178+'[1]شمال الدقهلية'!$B$10</f>
        <v>254</v>
      </c>
      <c r="C22" s="19">
        <v>174</v>
      </c>
      <c r="D22" s="19">
        <f>TypesTable3[[#This Row],[Target]]-TypesTable3[[#This Row],[Done]]</f>
        <v>80</v>
      </c>
      <c r="E22" s="20">
        <f>(TypesTable3[[#This Row],[Done]]/TypesTable3[[#This Row],[Target]])</f>
        <v>0.68503937007874016</v>
      </c>
      <c r="F22" s="21">
        <f>TypesTable3[[#This Row],[Balance]]/8</f>
        <v>10</v>
      </c>
      <c r="G22" s="21">
        <f>TypesTable3[[#This Row],[weekly target]]/6</f>
        <v>1.6666666666666667</v>
      </c>
      <c r="H22" s="21">
        <v>0</v>
      </c>
      <c r="I22" s="21">
        <v>3</v>
      </c>
      <c r="J22" s="21">
        <v>0</v>
      </c>
    </row>
    <row r="23" spans="1:10" s="22" customFormat="1" ht="15.75" x14ac:dyDescent="0.25">
      <c r="A23" s="19" t="s">
        <v>28</v>
      </c>
      <c r="B23" s="19">
        <f>221+'[1]شمال الدقهلية'!$B$11</f>
        <v>308</v>
      </c>
      <c r="C23" s="19">
        <v>207</v>
      </c>
      <c r="D23" s="19">
        <f>TypesTable3[[#This Row],[Target]]-TypesTable3[[#This Row],[Done]]</f>
        <v>101</v>
      </c>
      <c r="E23" s="20">
        <f>(TypesTable3[[#This Row],[Done]]/TypesTable3[[#This Row],[Target]])</f>
        <v>0.67207792207792205</v>
      </c>
      <c r="F23" s="21">
        <f>TypesTable3[[#This Row],[Balance]]/8</f>
        <v>12.625</v>
      </c>
      <c r="G23" s="21">
        <f>TypesTable3[[#This Row],[weekly target]]/6</f>
        <v>2.1041666666666665</v>
      </c>
      <c r="H23" s="21">
        <v>0</v>
      </c>
      <c r="I23" s="21">
        <v>0</v>
      </c>
      <c r="J23" s="21">
        <v>0</v>
      </c>
    </row>
    <row r="24" spans="1:10" s="22" customFormat="1" ht="15.75" x14ac:dyDescent="0.25">
      <c r="A24" s="19" t="s">
        <v>29</v>
      </c>
      <c r="B24" s="19">
        <f>172+'[1]شمال الدقهلية'!$B$12</f>
        <v>230</v>
      </c>
      <c r="C24" s="19">
        <v>171</v>
      </c>
      <c r="D24" s="19">
        <f>TypesTable3[[#This Row],[Target]]-TypesTable3[[#This Row],[Done]]</f>
        <v>59</v>
      </c>
      <c r="E24" s="20">
        <f>(TypesTable3[[#This Row],[Done]]/TypesTable3[[#This Row],[Target]])</f>
        <v>0.74347826086956526</v>
      </c>
      <c r="F24" s="21">
        <f>TypesTable3[[#This Row],[Balance]]/8</f>
        <v>7.375</v>
      </c>
      <c r="G24" s="21">
        <f>TypesTable3[[#This Row],[weekly target]]/6</f>
        <v>1.2291666666666667</v>
      </c>
      <c r="H24" s="21">
        <v>0</v>
      </c>
      <c r="I24" s="21">
        <v>0</v>
      </c>
      <c r="J24" s="21">
        <v>0</v>
      </c>
    </row>
    <row r="25" spans="1:10" s="22" customFormat="1" ht="15.75" x14ac:dyDescent="0.25">
      <c r="A25" s="19" t="s">
        <v>30</v>
      </c>
      <c r="B25" s="19">
        <f>208+'[1]شمال الدقهلية'!$B$13</f>
        <v>260</v>
      </c>
      <c r="C25" s="19">
        <v>163</v>
      </c>
      <c r="D25" s="19">
        <f>TypesTable3[[#This Row],[Target]]-TypesTable3[[#This Row],[Done]]</f>
        <v>97</v>
      </c>
      <c r="E25" s="20">
        <f>(TypesTable3[[#This Row],[Done]]/TypesTable3[[#This Row],[Target]])</f>
        <v>0.62692307692307692</v>
      </c>
      <c r="F25" s="21">
        <f>TypesTable3[[#This Row],[Balance]]/8</f>
        <v>12.125</v>
      </c>
      <c r="G25" s="21">
        <f>TypesTable3[[#This Row],[weekly target]]/6</f>
        <v>2.0208333333333335</v>
      </c>
      <c r="H25" s="21">
        <v>0</v>
      </c>
      <c r="I25" s="21">
        <v>9</v>
      </c>
      <c r="J25" s="21">
        <v>0</v>
      </c>
    </row>
    <row r="26" spans="1:10" s="22" customFormat="1" ht="15.75" x14ac:dyDescent="0.25">
      <c r="A26" s="19" t="s">
        <v>31</v>
      </c>
      <c r="B26" s="19">
        <f>247+'[1]شمال الدقهلية'!$B$14</f>
        <v>296</v>
      </c>
      <c r="C26" s="19">
        <v>161</v>
      </c>
      <c r="D26" s="19">
        <f>TypesTable3[[#This Row],[Target]]-TypesTable3[[#This Row],[Done]]</f>
        <v>135</v>
      </c>
      <c r="E26" s="20">
        <f>(TypesTable3[[#This Row],[Done]]/TypesTable3[[#This Row],[Target]])</f>
        <v>0.54391891891891897</v>
      </c>
      <c r="F26" s="21">
        <f>TypesTable3[[#This Row],[Balance]]/8</f>
        <v>16.875</v>
      </c>
      <c r="G26" s="21">
        <f>TypesTable3[[#This Row],[weekly target]]/6</f>
        <v>2.8125</v>
      </c>
      <c r="H26" s="21">
        <v>0</v>
      </c>
      <c r="I26" s="21">
        <v>0</v>
      </c>
      <c r="J26" s="21">
        <v>0</v>
      </c>
    </row>
    <row r="27" spans="1:10" s="22" customFormat="1" ht="15.75" x14ac:dyDescent="0.25">
      <c r="A27" s="19" t="s">
        <v>32</v>
      </c>
      <c r="B27" s="19">
        <f>72+'[1]شمال الدقهلية'!$B$15</f>
        <v>119</v>
      </c>
      <c r="C27" s="19">
        <v>82</v>
      </c>
      <c r="D27" s="19">
        <f>TypesTable3[[#This Row],[Target]]-TypesTable3[[#This Row],[Done]]</f>
        <v>37</v>
      </c>
      <c r="E27" s="20">
        <f>(TypesTable3[[#This Row],[Done]]/TypesTable3[[#This Row],[Target]])</f>
        <v>0.68907563025210083</v>
      </c>
      <c r="F27" s="21">
        <f>TypesTable3[[#This Row],[Balance]]/8</f>
        <v>4.625</v>
      </c>
      <c r="G27" s="21">
        <f>TypesTable3[[#This Row],[weekly target]]/6</f>
        <v>0.77083333333333337</v>
      </c>
      <c r="H27" s="21">
        <v>1</v>
      </c>
      <c r="I27" s="21">
        <v>1</v>
      </c>
      <c r="J27" s="21">
        <v>0</v>
      </c>
    </row>
    <row r="28" spans="1:10" s="22" customFormat="1" ht="15.75" x14ac:dyDescent="0.25">
      <c r="A28" s="19" t="s">
        <v>33</v>
      </c>
      <c r="B28" s="19">
        <f>231+'[1]شمال الدقهلية'!$B$16</f>
        <v>297</v>
      </c>
      <c r="C28" s="19">
        <v>129</v>
      </c>
      <c r="D28" s="19">
        <f>TypesTable3[[#This Row],[Target]]-TypesTable3[[#This Row],[Done]]</f>
        <v>168</v>
      </c>
      <c r="E28" s="20">
        <f>(TypesTable3[[#This Row],[Done]]/TypesTable3[[#This Row],[Target]])</f>
        <v>0.43434343434343436</v>
      </c>
      <c r="F28" s="21">
        <f>TypesTable3[[#This Row],[Balance]]/8</f>
        <v>21</v>
      </c>
      <c r="G28" s="21">
        <f>TypesTable3[[#This Row],[weekly target]]/6</f>
        <v>3.5</v>
      </c>
      <c r="H28" s="21">
        <v>0</v>
      </c>
      <c r="I28" s="21">
        <v>13</v>
      </c>
      <c r="J28" s="21">
        <v>0</v>
      </c>
    </row>
    <row r="29" spans="1:10" ht="20.25" x14ac:dyDescent="0.25">
      <c r="A29" s="8" t="s">
        <v>17</v>
      </c>
      <c r="B29" s="8">
        <f>SUBTOTAL(109,B15:B28)</f>
        <v>3800</v>
      </c>
      <c r="C29" s="8">
        <f>SUBTOTAL(109,C15:C28)</f>
        <v>2065</v>
      </c>
      <c r="D29" s="8">
        <f>TypesTable3[[#This Row],[Target]]-TypesTable3[[#This Row],[Done]]</f>
        <v>1735</v>
      </c>
      <c r="E29" s="9">
        <f>(TypesTable3[[#This Row],[Done]]/TypesTable3[[#This Row],[Target]])</f>
        <v>0.54342105263157892</v>
      </c>
      <c r="F29" s="8">
        <f>TypesTable3[[#This Row],[Balance]]/8</f>
        <v>216.875</v>
      </c>
      <c r="G29" s="10">
        <f>TypesTable3[[#This Row],[weekly target]]/6</f>
        <v>36.145833333333336</v>
      </c>
      <c r="H29" s="10">
        <v>9</v>
      </c>
      <c r="I29" s="10">
        <v>43</v>
      </c>
      <c r="J29" s="10">
        <v>3</v>
      </c>
    </row>
  </sheetData>
  <mergeCells count="1">
    <mergeCell ref="A1:J1"/>
  </mergeCells>
  <phoneticPr fontId="1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rightToLeft="1" workbookViewId="0">
      <selection activeCell="B3" sqref="B3:B16"/>
    </sheetView>
  </sheetViews>
  <sheetFormatPr defaultColWidth="9" defaultRowHeight="24.95" customHeight="1" x14ac:dyDescent="0.25"/>
  <cols>
    <col min="1" max="1" width="38.42578125" style="11" bestFit="1" customWidth="1"/>
    <col min="2" max="2" width="10.5703125" style="11" bestFit="1" customWidth="1"/>
    <col min="3" max="4" width="8.140625" style="1" bestFit="1" customWidth="1"/>
    <col min="5" max="5" width="10.5703125" style="1" bestFit="1" customWidth="1"/>
    <col min="6" max="6" width="22" style="1" bestFit="1" customWidth="1"/>
    <col min="7" max="7" width="17.28515625" style="1" bestFit="1" customWidth="1"/>
    <col min="8" max="10" width="17.140625" style="1" bestFit="1" customWidth="1"/>
    <col min="11" max="16384" width="9" style="1"/>
  </cols>
  <sheetData>
    <row r="1" spans="1:10" ht="24.95" customHeight="1" x14ac:dyDescent="0.25">
      <c r="A1" s="32" t="s">
        <v>79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2" customFormat="1" ht="24.95" customHeight="1" x14ac:dyDescent="0.25">
      <c r="A2" s="29" t="s">
        <v>34</v>
      </c>
      <c r="B2" s="12" t="s">
        <v>70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28" t="s">
        <v>77</v>
      </c>
      <c r="I2" s="28" t="s">
        <v>76</v>
      </c>
      <c r="J2" s="28" t="s">
        <v>78</v>
      </c>
    </row>
    <row r="3" spans="1:10" ht="24.95" customHeight="1" x14ac:dyDescent="0.25">
      <c r="A3" s="23" t="s">
        <v>35</v>
      </c>
      <c r="B3" s="23">
        <f>421+'[1]جنوب الدقهلية'!$B$3</f>
        <v>707</v>
      </c>
      <c r="C3" s="23">
        <f>345+'[1]جنوب الدقهلية'!$C$3</f>
        <v>358</v>
      </c>
      <c r="D3" s="23">
        <f>TypesTable4[[#This Row],[Target]]-TypesTable4[[#This Row],[Done]]</f>
        <v>349</v>
      </c>
      <c r="E3" s="24">
        <f>TypesTable4[[#This Row],[Done]]/TypesTable4[[#This Row],[Target]]</f>
        <v>0.50636492220650642</v>
      </c>
      <c r="F3" s="25">
        <f>TypesTable4[[#This Row],[Balance]]/8</f>
        <v>43.625</v>
      </c>
      <c r="G3" s="25">
        <f>TypesTable4[[#This Row],[weekly target]]/6</f>
        <v>7.270833333333333</v>
      </c>
      <c r="H3" s="25">
        <v>11</v>
      </c>
      <c r="I3" s="25">
        <v>13</v>
      </c>
      <c r="J3" s="25">
        <v>0</v>
      </c>
    </row>
    <row r="4" spans="1:10" ht="24.95" customHeight="1" x14ac:dyDescent="0.25">
      <c r="A4" s="23" t="s">
        <v>36</v>
      </c>
      <c r="B4" s="23">
        <f>597+'[1]جنوب الدقهلية'!$B$4</f>
        <v>880</v>
      </c>
      <c r="C4" s="23">
        <v>73</v>
      </c>
      <c r="D4" s="23">
        <f>TypesTable4[[#This Row],[Target]]-TypesTable4[[#This Row],[Done]]</f>
        <v>807</v>
      </c>
      <c r="E4" s="24">
        <f>TypesTable4[[#This Row],[Done]]/TypesTable4[[#This Row],[Target]]</f>
        <v>8.2954545454545461E-2</v>
      </c>
      <c r="F4" s="25">
        <f>TypesTable4[[#This Row],[Balance]]/8</f>
        <v>100.875</v>
      </c>
      <c r="G4" s="25">
        <f>TypesTable4[[#This Row],[weekly target]]/6</f>
        <v>16.8125</v>
      </c>
      <c r="H4" s="25">
        <v>0</v>
      </c>
      <c r="I4" s="25">
        <v>7</v>
      </c>
      <c r="J4" s="25">
        <v>0</v>
      </c>
    </row>
    <row r="5" spans="1:10" ht="24.95" customHeight="1" x14ac:dyDescent="0.25">
      <c r="A5" s="23" t="s">
        <v>37</v>
      </c>
      <c r="B5" s="23">
        <f>365+'[1]جنوب الدقهلية'!$B$5</f>
        <v>637</v>
      </c>
      <c r="C5" s="23">
        <f>77+'[1]جنوب الدقهلية'!$C$5</f>
        <v>80</v>
      </c>
      <c r="D5" s="23">
        <f>TypesTable4[[#This Row],[Target]]-TypesTable4[[#This Row],[Done]]</f>
        <v>557</v>
      </c>
      <c r="E5" s="24">
        <f>TypesTable4[[#This Row],[Done]]/TypesTable4[[#This Row],[Target]]</f>
        <v>0.12558869701726844</v>
      </c>
      <c r="F5" s="25">
        <f>TypesTable4[[#This Row],[Balance]]/8</f>
        <v>69.625</v>
      </c>
      <c r="G5" s="25">
        <f>TypesTable4[[#This Row],[weekly target]]/6</f>
        <v>11.604166666666666</v>
      </c>
      <c r="H5" s="25">
        <v>0</v>
      </c>
      <c r="I5" s="25">
        <v>0</v>
      </c>
      <c r="J5" s="25">
        <v>0</v>
      </c>
    </row>
    <row r="6" spans="1:10" ht="24.95" customHeight="1" x14ac:dyDescent="0.25">
      <c r="A6" s="23" t="s">
        <v>38</v>
      </c>
      <c r="B6" s="23">
        <f>236+'[1]جنوب الدقهلية'!$B$6</f>
        <v>371</v>
      </c>
      <c r="C6" s="23">
        <v>142</v>
      </c>
      <c r="D6" s="23">
        <f>TypesTable4[[#This Row],[Target]]-TypesTable4[[#This Row],[Done]]</f>
        <v>229</v>
      </c>
      <c r="E6" s="24">
        <f>TypesTable4[[#This Row],[Done]]/TypesTable4[[#This Row],[Target]]</f>
        <v>0.38274932614555257</v>
      </c>
      <c r="F6" s="25">
        <f>TypesTable4[[#This Row],[Balance]]/8</f>
        <v>28.625</v>
      </c>
      <c r="G6" s="25">
        <f>TypesTable4[[#This Row],[weekly target]]/6</f>
        <v>4.770833333333333</v>
      </c>
      <c r="H6" s="25">
        <v>0</v>
      </c>
      <c r="I6" s="25">
        <v>0</v>
      </c>
      <c r="J6" s="25">
        <v>0</v>
      </c>
    </row>
    <row r="7" spans="1:10" ht="24.95" customHeight="1" x14ac:dyDescent="0.25">
      <c r="A7" s="23" t="s">
        <v>39</v>
      </c>
      <c r="B7" s="23">
        <f>305+'[1]جنوب الدقهلية'!$B$7</f>
        <v>497</v>
      </c>
      <c r="C7" s="23">
        <v>95</v>
      </c>
      <c r="D7" s="23">
        <f>TypesTable4[[#This Row],[Target]]-TypesTable4[[#This Row],[Done]]</f>
        <v>402</v>
      </c>
      <c r="E7" s="24">
        <f>TypesTable4[[#This Row],[Done]]/TypesTable4[[#This Row],[Target]]</f>
        <v>0.19114688128772636</v>
      </c>
      <c r="F7" s="25">
        <f>TypesTable4[[#This Row],[Balance]]/8</f>
        <v>50.25</v>
      </c>
      <c r="G7" s="25">
        <f>TypesTable4[[#This Row],[weekly target]]/6</f>
        <v>8.375</v>
      </c>
      <c r="H7" s="25">
        <v>0</v>
      </c>
      <c r="I7" s="25">
        <v>0</v>
      </c>
      <c r="J7" s="25">
        <v>0</v>
      </c>
    </row>
    <row r="8" spans="1:10" ht="24.95" customHeight="1" x14ac:dyDescent="0.25">
      <c r="A8" s="23" t="s">
        <v>40</v>
      </c>
      <c r="B8" s="23">
        <f>210+'[1]جنوب الدقهلية'!$B$8</f>
        <v>387</v>
      </c>
      <c r="C8" s="23">
        <v>100</v>
      </c>
      <c r="D8" s="23">
        <f>TypesTable4[[#This Row],[Target]]-TypesTable4[[#This Row],[Done]]</f>
        <v>287</v>
      </c>
      <c r="E8" s="24">
        <f>TypesTable4[[#This Row],[Done]]/TypesTable4[[#This Row],[Target]]</f>
        <v>0.25839793281653745</v>
      </c>
      <c r="F8" s="25">
        <f>TypesTable4[[#This Row],[Balance]]/8</f>
        <v>35.875</v>
      </c>
      <c r="G8" s="25">
        <f>TypesTable4[[#This Row],[weekly target]]/6</f>
        <v>5.979166666666667</v>
      </c>
      <c r="H8" s="25">
        <v>0</v>
      </c>
      <c r="I8" s="25">
        <v>5</v>
      </c>
      <c r="J8" s="25">
        <v>0</v>
      </c>
    </row>
    <row r="9" spans="1:10" ht="24.95" customHeight="1" x14ac:dyDescent="0.25">
      <c r="A9" s="23" t="s">
        <v>41</v>
      </c>
      <c r="B9" s="23">
        <f>383+'[1]جنوب الدقهلية'!$B$9</f>
        <v>760</v>
      </c>
      <c r="C9" s="23">
        <v>251</v>
      </c>
      <c r="D9" s="23">
        <f>TypesTable4[[#This Row],[Target]]-TypesTable4[[#This Row],[Done]]</f>
        <v>509</v>
      </c>
      <c r="E9" s="24">
        <f>TypesTable4[[#This Row],[Done]]/TypesTable4[[#This Row],[Target]]</f>
        <v>0.33026315789473687</v>
      </c>
      <c r="F9" s="25">
        <f>TypesTable4[[#This Row],[Balance]]/8</f>
        <v>63.625</v>
      </c>
      <c r="G9" s="25">
        <f>TypesTable4[[#This Row],[weekly target]]/6</f>
        <v>10.604166666666666</v>
      </c>
      <c r="H9" s="25">
        <v>0</v>
      </c>
      <c r="I9" s="25">
        <v>10</v>
      </c>
      <c r="J9" s="25">
        <v>0</v>
      </c>
    </row>
    <row r="10" spans="1:10" ht="24.95" customHeight="1" x14ac:dyDescent="0.25">
      <c r="A10" s="23" t="s">
        <v>42</v>
      </c>
      <c r="B10" s="23">
        <f>87+'[1]جنوب الدقهلية'!$B$10</f>
        <v>139</v>
      </c>
      <c r="C10" s="23">
        <v>71</v>
      </c>
      <c r="D10" s="23">
        <f>TypesTable4[[#This Row],[Target]]-TypesTable4[[#This Row],[Done]]</f>
        <v>68</v>
      </c>
      <c r="E10" s="24">
        <f>TypesTable4[[#This Row],[Done]]/TypesTable4[[#This Row],[Target]]</f>
        <v>0.51079136690647486</v>
      </c>
      <c r="F10" s="25">
        <f>TypesTable4[[#This Row],[Balance]]/8</f>
        <v>8.5</v>
      </c>
      <c r="G10" s="25">
        <f>TypesTable4[[#This Row],[weekly target]]/6</f>
        <v>1.4166666666666667</v>
      </c>
      <c r="H10" s="25">
        <v>0</v>
      </c>
      <c r="I10" s="25">
        <v>6</v>
      </c>
      <c r="J10" s="25">
        <v>0</v>
      </c>
    </row>
    <row r="11" spans="1:10" ht="24.95" customHeight="1" x14ac:dyDescent="0.25">
      <c r="A11" s="23" t="s">
        <v>43</v>
      </c>
      <c r="B11" s="23">
        <f>434+'[1]جنوب الدقهلية'!$B$11</f>
        <v>571</v>
      </c>
      <c r="C11" s="23">
        <v>53</v>
      </c>
      <c r="D11" s="23">
        <f>TypesTable4[[#This Row],[Target]]-TypesTable4[[#This Row],[Done]]</f>
        <v>518</v>
      </c>
      <c r="E11" s="24">
        <f>TypesTable4[[#This Row],[Done]]/TypesTable4[[#This Row],[Target]]</f>
        <v>9.2819614711033269E-2</v>
      </c>
      <c r="F11" s="25">
        <f>TypesTable4[[#This Row],[Balance]]/8</f>
        <v>64.75</v>
      </c>
      <c r="G11" s="25">
        <f>TypesTable4[[#This Row],[weekly target]]/6</f>
        <v>10.791666666666666</v>
      </c>
      <c r="H11" s="25">
        <v>1</v>
      </c>
      <c r="I11" s="25">
        <v>0</v>
      </c>
      <c r="J11" s="25">
        <v>0</v>
      </c>
    </row>
    <row r="12" spans="1:10" ht="24.95" customHeight="1" x14ac:dyDescent="0.25">
      <c r="A12" s="23" t="s">
        <v>44</v>
      </c>
      <c r="B12" s="23">
        <f>203+'[1]جنوب الدقهلية'!$B$12</f>
        <v>275</v>
      </c>
      <c r="C12" s="23">
        <v>67</v>
      </c>
      <c r="D12" s="23">
        <f>TypesTable4[[#This Row],[Target]]-TypesTable4[[#This Row],[Done]]</f>
        <v>208</v>
      </c>
      <c r="E12" s="24">
        <f>TypesTable4[[#This Row],[Done]]/TypesTable4[[#This Row],[Target]]</f>
        <v>0.24363636363636362</v>
      </c>
      <c r="F12" s="25">
        <f>TypesTable4[[#This Row],[Balance]]/8</f>
        <v>26</v>
      </c>
      <c r="G12" s="25">
        <f>TypesTable4[[#This Row],[weekly target]]/6</f>
        <v>4.333333333333333</v>
      </c>
      <c r="H12" s="25">
        <v>0</v>
      </c>
      <c r="I12" s="25">
        <v>0</v>
      </c>
      <c r="J12" s="25">
        <v>0</v>
      </c>
    </row>
    <row r="13" spans="1:10" ht="24.95" customHeight="1" x14ac:dyDescent="0.25">
      <c r="A13" s="23" t="s">
        <v>45</v>
      </c>
      <c r="B13" s="23">
        <f>119+'[1]جنوب الدقهلية'!$B$13</f>
        <v>339</v>
      </c>
      <c r="C13" s="23">
        <v>24</v>
      </c>
      <c r="D13" s="23">
        <f>TypesTable4[[#This Row],[Target]]-TypesTable4[[#This Row],[Done]]</f>
        <v>315</v>
      </c>
      <c r="E13" s="24">
        <f>TypesTable4[[#This Row],[Done]]/TypesTable4[[#This Row],[Target]]</f>
        <v>7.0796460176991149E-2</v>
      </c>
      <c r="F13" s="25">
        <f>TypesTable4[[#This Row],[Balance]]/8</f>
        <v>39.375</v>
      </c>
      <c r="G13" s="25">
        <f>TypesTable4[[#This Row],[weekly target]]/6</f>
        <v>6.5625</v>
      </c>
      <c r="H13" s="25">
        <v>0</v>
      </c>
      <c r="I13" s="25">
        <v>0</v>
      </c>
      <c r="J13" s="25">
        <v>0</v>
      </c>
    </row>
    <row r="14" spans="1:10" ht="24.95" customHeight="1" x14ac:dyDescent="0.25">
      <c r="A14" s="23" t="s">
        <v>46</v>
      </c>
      <c r="B14" s="23">
        <f>236+'[1]جنوب الدقهلية'!$B$14</f>
        <v>475</v>
      </c>
      <c r="C14" s="23">
        <v>133</v>
      </c>
      <c r="D14" s="23">
        <f>TypesTable4[[#This Row],[Target]]-TypesTable4[[#This Row],[Done]]</f>
        <v>342</v>
      </c>
      <c r="E14" s="24">
        <f>TypesTable4[[#This Row],[Done]]/TypesTable4[[#This Row],[Target]]</f>
        <v>0.28000000000000003</v>
      </c>
      <c r="F14" s="25">
        <f>TypesTable4[[#This Row],[Balance]]/8</f>
        <v>42.75</v>
      </c>
      <c r="G14" s="25">
        <f>TypesTable4[[#This Row],[weekly target]]/6</f>
        <v>7.125</v>
      </c>
      <c r="H14" s="25">
        <v>7</v>
      </c>
      <c r="I14" s="25">
        <v>3</v>
      </c>
      <c r="J14" s="25">
        <v>0</v>
      </c>
    </row>
    <row r="15" spans="1:10" ht="24.95" customHeight="1" x14ac:dyDescent="0.25">
      <c r="A15" s="23" t="s">
        <v>47</v>
      </c>
      <c r="B15" s="23">
        <f>179+'[1]جنوب الدقهلية'!$B$15</f>
        <v>345</v>
      </c>
      <c r="C15" s="23">
        <v>83</v>
      </c>
      <c r="D15" s="23">
        <f>TypesTable4[[#This Row],[Target]]-TypesTable4[[#This Row],[Done]]</f>
        <v>262</v>
      </c>
      <c r="E15" s="24">
        <f>TypesTable4[[#This Row],[Done]]/TypesTable4[[#This Row],[Target]]</f>
        <v>0.24057971014492754</v>
      </c>
      <c r="F15" s="25">
        <f>TypesTable4[[#This Row],[Balance]]/8</f>
        <v>32.75</v>
      </c>
      <c r="G15" s="25">
        <f>TypesTable4[[#This Row],[weekly target]]/6</f>
        <v>5.458333333333333</v>
      </c>
      <c r="H15" s="25">
        <v>5</v>
      </c>
      <c r="I15" s="25">
        <v>1</v>
      </c>
      <c r="J15" s="25">
        <v>0</v>
      </c>
    </row>
    <row r="16" spans="1:10" ht="24.95" customHeight="1" x14ac:dyDescent="0.25">
      <c r="A16" s="7" t="s">
        <v>48</v>
      </c>
      <c r="B16" s="8">
        <f>SUBTOTAL(109,B3:B15)</f>
        <v>6383</v>
      </c>
      <c r="C16" s="8">
        <f>SUBTOTAL(109,C3:C15)</f>
        <v>1530</v>
      </c>
      <c r="D16" s="8">
        <f>TypesTable4[[#This Row],[Target]]-TypesTable4[[#This Row],[Done]]</f>
        <v>4853</v>
      </c>
      <c r="E16" s="9">
        <f>TypesTable4[[#This Row],[Done]]/TypesTable4[[#This Row],[Target]]</f>
        <v>0.23969920100266331</v>
      </c>
      <c r="F16" s="10">
        <f>TypesTable4[[#This Row],[Balance]]/8</f>
        <v>606.625</v>
      </c>
      <c r="G16" s="10">
        <f>TypesTable4[[#This Row],[weekly target]]/6</f>
        <v>101.10416666666667</v>
      </c>
      <c r="H16" s="10">
        <v>24</v>
      </c>
      <c r="I16" s="10">
        <v>45</v>
      </c>
      <c r="J16" s="10">
        <v>0</v>
      </c>
    </row>
  </sheetData>
  <mergeCells count="1">
    <mergeCell ref="A1:J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rightToLeft="1" tabSelected="1" topLeftCell="A49" zoomScaleNormal="100" workbookViewId="0">
      <selection activeCell="A52" sqref="A52"/>
    </sheetView>
  </sheetViews>
  <sheetFormatPr defaultColWidth="9" defaultRowHeight="15" x14ac:dyDescent="0.25"/>
  <cols>
    <col min="1" max="1" width="39.85546875" style="1" bestFit="1" customWidth="1"/>
    <col min="2" max="2" width="11.42578125" style="1" bestFit="1" customWidth="1"/>
    <col min="3" max="3" width="21" style="1" bestFit="1" customWidth="1"/>
    <col min="4" max="4" width="11.140625" style="1" bestFit="1" customWidth="1"/>
    <col min="5" max="5" width="13.140625" style="1" bestFit="1" customWidth="1"/>
    <col min="6" max="6" width="23.85546875" style="1" bestFit="1" customWidth="1"/>
    <col min="7" max="7" width="19.140625" style="1" bestFit="1" customWidth="1"/>
    <col min="8" max="10" width="18.5703125" style="1" bestFit="1" customWidth="1"/>
    <col min="11" max="11" width="20.5703125" style="1" bestFit="1" customWidth="1"/>
    <col min="12" max="16384" width="9" style="1"/>
  </cols>
  <sheetData>
    <row r="1" spans="1:11" ht="33.75" x14ac:dyDescent="0.25">
      <c r="A1" s="32" t="s">
        <v>79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s="2" customFormat="1" ht="18" hidden="1" customHeight="1" x14ac:dyDescent="0.25">
      <c r="A2" s="14" t="s">
        <v>0</v>
      </c>
      <c r="B2" s="14" t="s">
        <v>18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31" t="s">
        <v>67</v>
      </c>
      <c r="I2" s="31" t="s">
        <v>68</v>
      </c>
      <c r="J2" s="31" t="s">
        <v>69</v>
      </c>
      <c r="K2" s="31"/>
    </row>
    <row r="3" spans="1:11" ht="18" hidden="1" customHeight="1" x14ac:dyDescent="0.25">
      <c r="A3" s="15" t="s">
        <v>6</v>
      </c>
      <c r="B3" s="15"/>
      <c r="C3" s="15">
        <v>0</v>
      </c>
      <c r="D3" s="15" t="e">
        <f>#REF!-TypesTable5[[#This Row],[ملك الشركة - المنفذ]]</f>
        <v>#REF!</v>
      </c>
      <c r="E3" s="16" t="e">
        <f>(TypesTable5[[#This Row],[ملك الشركة - المنفذ]]/#REF!)</f>
        <v>#REF!</v>
      </c>
      <c r="F3" s="17" t="e">
        <f>#REF!/7</f>
        <v>#REF!</v>
      </c>
      <c r="G3" s="17" t="e">
        <f>TypesTable5[[#This Row],[المستهدف - الأسبوعي]]/6</f>
        <v>#REF!</v>
      </c>
      <c r="H3" s="30"/>
      <c r="I3" s="30"/>
      <c r="J3" s="30"/>
      <c r="K3" s="30"/>
    </row>
    <row r="4" spans="1:11" ht="18" hidden="1" customHeight="1" x14ac:dyDescent="0.25">
      <c r="A4" s="15" t="s">
        <v>7</v>
      </c>
      <c r="B4" s="15"/>
      <c r="C4" s="15">
        <v>86</v>
      </c>
      <c r="D4" s="15" t="e">
        <f>#REF!-TypesTable5[[#This Row],[ملك الشركة - المنفذ]]</f>
        <v>#REF!</v>
      </c>
      <c r="E4" s="16" t="e">
        <f>(TypesTable5[[#This Row],[ملك الشركة - المنفذ]]/#REF!)</f>
        <v>#REF!</v>
      </c>
      <c r="F4" s="17" t="e">
        <f>#REF!/7</f>
        <v>#REF!</v>
      </c>
      <c r="G4" s="17" t="e">
        <f>TypesTable5[[#This Row],[المستهدف - الأسبوعي]]/6</f>
        <v>#REF!</v>
      </c>
      <c r="H4" s="30"/>
      <c r="I4" s="30"/>
      <c r="J4" s="30"/>
      <c r="K4" s="30"/>
    </row>
    <row r="5" spans="1:11" ht="18" hidden="1" customHeight="1" x14ac:dyDescent="0.25">
      <c r="A5" s="15" t="s">
        <v>8</v>
      </c>
      <c r="B5" s="15"/>
      <c r="C5" s="15">
        <v>0</v>
      </c>
      <c r="D5" s="15" t="e">
        <f>#REF!-TypesTable5[[#This Row],[ملك الشركة - المنفذ]]</f>
        <v>#REF!</v>
      </c>
      <c r="E5" s="16" t="e">
        <f>(TypesTable5[[#This Row],[ملك الشركة - المنفذ]]/#REF!)</f>
        <v>#REF!</v>
      </c>
      <c r="F5" s="17" t="e">
        <f>#REF!/7</f>
        <v>#REF!</v>
      </c>
      <c r="G5" s="17" t="e">
        <f>TypesTable5[[#This Row],[المستهدف - الأسبوعي]]/6</f>
        <v>#REF!</v>
      </c>
      <c r="H5" s="30"/>
      <c r="I5" s="30"/>
      <c r="J5" s="30"/>
      <c r="K5" s="30"/>
    </row>
    <row r="6" spans="1:11" ht="18" hidden="1" customHeight="1" x14ac:dyDescent="0.25">
      <c r="A6" s="15" t="s">
        <v>9</v>
      </c>
      <c r="B6" s="15"/>
      <c r="C6" s="15">
        <v>10</v>
      </c>
      <c r="D6" s="15" t="e">
        <f>#REF!-TypesTable5[[#This Row],[ملك الشركة - المنفذ]]</f>
        <v>#REF!</v>
      </c>
      <c r="E6" s="16" t="e">
        <f>(TypesTable5[[#This Row],[ملك الشركة - المنفذ]]/#REF!)</f>
        <v>#REF!</v>
      </c>
      <c r="F6" s="17" t="e">
        <f>#REF!/7</f>
        <v>#REF!</v>
      </c>
      <c r="G6" s="17" t="e">
        <f>TypesTable5[[#This Row],[المستهدف - الأسبوعي]]/6</f>
        <v>#REF!</v>
      </c>
      <c r="H6" s="30"/>
      <c r="I6" s="30"/>
      <c r="J6" s="30"/>
      <c r="K6" s="30"/>
    </row>
    <row r="7" spans="1:11" ht="18" hidden="1" customHeight="1" x14ac:dyDescent="0.25">
      <c r="A7" s="15" t="s">
        <v>10</v>
      </c>
      <c r="B7" s="15"/>
      <c r="C7" s="15">
        <v>0</v>
      </c>
      <c r="D7" s="15" t="e">
        <f>#REF!-TypesTable5[[#This Row],[ملك الشركة - المنفذ]]</f>
        <v>#REF!</v>
      </c>
      <c r="E7" s="16" t="e">
        <f>(TypesTable5[[#This Row],[ملك الشركة - المنفذ]]/#REF!)</f>
        <v>#REF!</v>
      </c>
      <c r="F7" s="17" t="e">
        <f>#REF!/7</f>
        <v>#REF!</v>
      </c>
      <c r="G7" s="17" t="e">
        <f>TypesTable5[[#This Row],[المستهدف - الأسبوعي]]/6</f>
        <v>#REF!</v>
      </c>
      <c r="H7" s="30"/>
      <c r="I7" s="30"/>
      <c r="J7" s="30"/>
      <c r="K7" s="30"/>
    </row>
    <row r="8" spans="1:11" ht="18" hidden="1" customHeight="1" x14ac:dyDescent="0.25">
      <c r="A8" s="15" t="s">
        <v>11</v>
      </c>
      <c r="B8" s="15"/>
      <c r="C8" s="15">
        <v>10</v>
      </c>
      <c r="D8" s="15" t="e">
        <f>#REF!-TypesTable5[[#This Row],[ملك الشركة - المنفذ]]</f>
        <v>#REF!</v>
      </c>
      <c r="E8" s="16" t="e">
        <f>(TypesTable5[[#This Row],[ملك الشركة - المنفذ]]/#REF!)</f>
        <v>#REF!</v>
      </c>
      <c r="F8" s="17" t="e">
        <f>#REF!/7</f>
        <v>#REF!</v>
      </c>
      <c r="G8" s="17" t="e">
        <f>TypesTable5[[#This Row],[المستهدف - الأسبوعي]]/6</f>
        <v>#REF!</v>
      </c>
      <c r="H8" s="30"/>
      <c r="I8" s="30"/>
      <c r="J8" s="30"/>
      <c r="K8" s="30"/>
    </row>
    <row r="9" spans="1:11" ht="18" hidden="1" customHeight="1" x14ac:dyDescent="0.25">
      <c r="A9" s="15" t="s">
        <v>12</v>
      </c>
      <c r="B9" s="15"/>
      <c r="C9" s="15">
        <v>0</v>
      </c>
      <c r="D9" s="15" t="e">
        <f>#REF!-TypesTable5[[#This Row],[ملك الشركة - المنفذ]]</f>
        <v>#REF!</v>
      </c>
      <c r="E9" s="16" t="e">
        <f>(TypesTable5[[#This Row],[ملك الشركة - المنفذ]]/#REF!)</f>
        <v>#REF!</v>
      </c>
      <c r="F9" s="17" t="e">
        <f>#REF!/7</f>
        <v>#REF!</v>
      </c>
      <c r="G9" s="17" t="e">
        <f>TypesTable5[[#This Row],[المستهدف - الأسبوعي]]/6</f>
        <v>#REF!</v>
      </c>
      <c r="H9" s="30"/>
      <c r="I9" s="30"/>
      <c r="J9" s="30"/>
      <c r="K9" s="30"/>
    </row>
    <row r="10" spans="1:11" ht="18" hidden="1" customHeight="1" x14ac:dyDescent="0.25">
      <c r="A10" s="15" t="s">
        <v>13</v>
      </c>
      <c r="B10" s="15"/>
      <c r="C10" s="15">
        <v>7</v>
      </c>
      <c r="D10" s="15" t="e">
        <f>#REF!-TypesTable5[[#This Row],[ملك الشركة - المنفذ]]</f>
        <v>#REF!</v>
      </c>
      <c r="E10" s="16" t="e">
        <f>(TypesTable5[[#This Row],[ملك الشركة - المنفذ]]/#REF!)</f>
        <v>#REF!</v>
      </c>
      <c r="F10" s="17" t="e">
        <f>#REF!/7</f>
        <v>#REF!</v>
      </c>
      <c r="G10" s="17" t="e">
        <f>TypesTable5[[#This Row],[المستهدف - الأسبوعي]]/6</f>
        <v>#REF!</v>
      </c>
      <c r="H10" s="30"/>
      <c r="I10" s="30"/>
      <c r="J10" s="30"/>
      <c r="K10" s="30"/>
    </row>
    <row r="11" spans="1:11" ht="18" hidden="1" customHeight="1" x14ac:dyDescent="0.25">
      <c r="A11" s="15" t="s">
        <v>14</v>
      </c>
      <c r="B11" s="15"/>
      <c r="C11" s="15">
        <v>14</v>
      </c>
      <c r="D11" s="15" t="e">
        <f>#REF!-TypesTable5[[#This Row],[ملك الشركة - المنفذ]]</f>
        <v>#REF!</v>
      </c>
      <c r="E11" s="16" t="e">
        <f>(TypesTable5[[#This Row],[ملك الشركة - المنفذ]]/#REF!)</f>
        <v>#REF!</v>
      </c>
      <c r="F11" s="17" t="e">
        <f>#REF!/7</f>
        <v>#REF!</v>
      </c>
      <c r="G11" s="17" t="e">
        <f>TypesTable5[[#This Row],[المستهدف - الأسبوعي]]/6</f>
        <v>#REF!</v>
      </c>
      <c r="H11" s="30"/>
      <c r="I11" s="30"/>
      <c r="J11" s="30"/>
      <c r="K11" s="30"/>
    </row>
    <row r="12" spans="1:11" ht="18" hidden="1" customHeight="1" x14ac:dyDescent="0.25">
      <c r="A12" s="15" t="s">
        <v>15</v>
      </c>
      <c r="B12" s="15"/>
      <c r="C12" s="15">
        <v>10</v>
      </c>
      <c r="D12" s="15" t="e">
        <f>#REF!-TypesTable5[[#This Row],[ملك الشركة - المنفذ]]</f>
        <v>#REF!</v>
      </c>
      <c r="E12" s="16" t="e">
        <f>(TypesTable5[[#This Row],[ملك الشركة - المنفذ]]/#REF!)</f>
        <v>#REF!</v>
      </c>
      <c r="F12" s="17" t="e">
        <f>#REF!/7</f>
        <v>#REF!</v>
      </c>
      <c r="G12" s="17" t="e">
        <f>TypesTable5[[#This Row],[المستهدف - الأسبوعي]]/6</f>
        <v>#REF!</v>
      </c>
      <c r="H12" s="30"/>
      <c r="I12" s="30"/>
      <c r="J12" s="30"/>
      <c r="K12" s="30"/>
    </row>
    <row r="13" spans="1:11" ht="18" hidden="1" customHeight="1" x14ac:dyDescent="0.25">
      <c r="A13" s="15" t="s">
        <v>16</v>
      </c>
      <c r="B13" s="15"/>
      <c r="C13" s="15">
        <v>11</v>
      </c>
      <c r="D13" s="15" t="e">
        <f>#REF!-TypesTable5[[#This Row],[ملك الشركة - المنفذ]]</f>
        <v>#REF!</v>
      </c>
      <c r="E13" s="16" t="e">
        <f>(TypesTable5[[#This Row],[ملك الشركة - المنفذ]]/#REF!)</f>
        <v>#REF!</v>
      </c>
      <c r="F13" s="17" t="e">
        <f>#REF!/7</f>
        <v>#REF!</v>
      </c>
      <c r="G13" s="17" t="e">
        <f>TypesTable5[[#This Row],[المستهدف - الأسبوعي]]/6</f>
        <v>#REF!</v>
      </c>
      <c r="H13" s="30"/>
      <c r="I13" s="30"/>
      <c r="J13" s="30"/>
      <c r="K13" s="30"/>
    </row>
    <row r="14" spans="1:11" ht="18" hidden="1" customHeight="1" x14ac:dyDescent="0.25">
      <c r="A14" s="8" t="s">
        <v>17</v>
      </c>
      <c r="B14" s="8"/>
      <c r="C14" s="8">
        <f>SUBTOTAL(109,C3:C13)</f>
        <v>0</v>
      </c>
      <c r="D14" s="8">
        <f t="shared" ref="D14" si="0">SUBTOTAL(109,D3:D13)</f>
        <v>0</v>
      </c>
      <c r="E14" s="9" t="e">
        <f>(TypesTable5[[#This Row],[ملك الشركة - المنفذ]]/#REF!)</f>
        <v>#REF!</v>
      </c>
      <c r="F14" s="10" t="e">
        <f>#REF!/7</f>
        <v>#REF!</v>
      </c>
      <c r="G14" s="10" t="e">
        <f>TypesTable5[[#This Row],[المستهدف - الأسبوعي]]/6</f>
        <v>#REF!</v>
      </c>
      <c r="H14" s="30"/>
      <c r="I14" s="30"/>
      <c r="J14" s="30"/>
      <c r="K14" s="30"/>
    </row>
    <row r="15" spans="1:11" ht="18" hidden="1" customHeight="1" x14ac:dyDescent="0.25">
      <c r="A15" s="15" t="s">
        <v>20</v>
      </c>
      <c r="B15" s="15"/>
      <c r="C15" s="15">
        <v>101</v>
      </c>
      <c r="D15" s="15" t="e">
        <f>#REF!-TypesTable5[[#This Row],[ملك الشركة - المنفذ]]</f>
        <v>#REF!</v>
      </c>
      <c r="E15" s="16" t="e">
        <f>(TypesTable5[[#This Row],[ملك الشركة - المنفذ]]/#REF!)</f>
        <v>#REF!</v>
      </c>
      <c r="F15" s="17" t="e">
        <f>#REF!/7</f>
        <v>#REF!</v>
      </c>
      <c r="G15" s="17" t="e">
        <f>TypesTable5[[#This Row],[المستهدف - الأسبوعي]]/6</f>
        <v>#REF!</v>
      </c>
      <c r="H15" s="30"/>
      <c r="I15" s="30"/>
      <c r="J15" s="30"/>
      <c r="K15" s="30"/>
    </row>
    <row r="16" spans="1:11" ht="18" hidden="1" customHeight="1" x14ac:dyDescent="0.25">
      <c r="A16" s="15" t="s">
        <v>21</v>
      </c>
      <c r="B16" s="15"/>
      <c r="C16" s="15">
        <v>184</v>
      </c>
      <c r="D16" s="15" t="e">
        <f>#REF!-TypesTable5[[#This Row],[ملك الشركة - المنفذ]]</f>
        <v>#REF!</v>
      </c>
      <c r="E16" s="16" t="e">
        <f>(TypesTable5[[#This Row],[ملك الشركة - المنفذ]]/#REF!)</f>
        <v>#REF!</v>
      </c>
      <c r="F16" s="17" t="e">
        <f>#REF!/7</f>
        <v>#REF!</v>
      </c>
      <c r="G16" s="17" t="e">
        <f>TypesTable5[[#This Row],[المستهدف - الأسبوعي]]/6</f>
        <v>#REF!</v>
      </c>
      <c r="H16" s="30"/>
      <c r="I16" s="30"/>
      <c r="J16" s="30"/>
      <c r="K16" s="30"/>
    </row>
    <row r="17" spans="1:11" ht="18" hidden="1" customHeight="1" x14ac:dyDescent="0.25">
      <c r="A17" s="15" t="s">
        <v>22</v>
      </c>
      <c r="B17" s="15"/>
      <c r="C17" s="15">
        <v>213</v>
      </c>
      <c r="D17" s="15" t="e">
        <f>#REF!-TypesTable5[[#This Row],[ملك الشركة - المنفذ]]</f>
        <v>#REF!</v>
      </c>
      <c r="E17" s="16" t="e">
        <f>(TypesTable5[[#This Row],[ملك الشركة - المنفذ]]/#REF!)</f>
        <v>#REF!</v>
      </c>
      <c r="F17" s="17" t="e">
        <f>#REF!/7</f>
        <v>#REF!</v>
      </c>
      <c r="G17" s="17" t="e">
        <f>TypesTable5[[#This Row],[المستهدف - الأسبوعي]]/6</f>
        <v>#REF!</v>
      </c>
      <c r="H17" s="30"/>
      <c r="I17" s="30"/>
      <c r="J17" s="30"/>
      <c r="K17" s="30"/>
    </row>
    <row r="18" spans="1:11" ht="18" hidden="1" customHeight="1" x14ac:dyDescent="0.25">
      <c r="A18" s="15" t="s">
        <v>23</v>
      </c>
      <c r="B18" s="15"/>
      <c r="C18" s="15">
        <v>60</v>
      </c>
      <c r="D18" s="15" t="e">
        <f>#REF!-TypesTable5[[#This Row],[ملك الشركة - المنفذ]]</f>
        <v>#REF!</v>
      </c>
      <c r="E18" s="16" t="e">
        <f>(TypesTable5[[#This Row],[ملك الشركة - المنفذ]]/#REF!)</f>
        <v>#REF!</v>
      </c>
      <c r="F18" s="17" t="e">
        <f>#REF!/7</f>
        <v>#REF!</v>
      </c>
      <c r="G18" s="17" t="e">
        <f>TypesTable5[[#This Row],[المستهدف - الأسبوعي]]/6</f>
        <v>#REF!</v>
      </c>
      <c r="H18" s="30"/>
      <c r="I18" s="30"/>
      <c r="J18" s="30"/>
      <c r="K18" s="30"/>
    </row>
    <row r="19" spans="1:11" ht="18" hidden="1" customHeight="1" x14ac:dyDescent="0.25">
      <c r="A19" s="15" t="s">
        <v>24</v>
      </c>
      <c r="B19" s="15"/>
      <c r="C19" s="15">
        <v>176</v>
      </c>
      <c r="D19" s="15" t="e">
        <f>#REF!-TypesTable5[[#This Row],[ملك الشركة - المنفذ]]</f>
        <v>#REF!</v>
      </c>
      <c r="E19" s="16" t="e">
        <f>(TypesTable5[[#This Row],[ملك الشركة - المنفذ]]/#REF!)</f>
        <v>#REF!</v>
      </c>
      <c r="F19" s="17" t="e">
        <f>#REF!/7</f>
        <v>#REF!</v>
      </c>
      <c r="G19" s="17" t="e">
        <f>TypesTable5[[#This Row],[المستهدف - الأسبوعي]]/6</f>
        <v>#REF!</v>
      </c>
      <c r="H19" s="30"/>
      <c r="I19" s="30"/>
      <c r="J19" s="30"/>
      <c r="K19" s="30"/>
    </row>
    <row r="20" spans="1:11" ht="18" hidden="1" customHeight="1" x14ac:dyDescent="0.25">
      <c r="A20" s="15" t="s">
        <v>25</v>
      </c>
      <c r="B20" s="15"/>
      <c r="C20" s="15">
        <v>137</v>
      </c>
      <c r="D20" s="15" t="e">
        <f>#REF!-TypesTable5[[#This Row],[ملك الشركة - المنفذ]]</f>
        <v>#REF!</v>
      </c>
      <c r="E20" s="16" t="e">
        <f>(TypesTable5[[#This Row],[ملك الشركة - المنفذ]]/#REF!)</f>
        <v>#REF!</v>
      </c>
      <c r="F20" s="17" t="e">
        <f>#REF!/7</f>
        <v>#REF!</v>
      </c>
      <c r="G20" s="17" t="e">
        <f>TypesTable5[[#This Row],[المستهدف - الأسبوعي]]/6</f>
        <v>#REF!</v>
      </c>
      <c r="H20" s="30"/>
      <c r="I20" s="30"/>
      <c r="J20" s="30"/>
      <c r="K20" s="30"/>
    </row>
    <row r="21" spans="1:11" ht="18" hidden="1" customHeight="1" x14ac:dyDescent="0.25">
      <c r="A21" s="15" t="s">
        <v>26</v>
      </c>
      <c r="B21" s="15"/>
      <c r="C21" s="15">
        <v>104</v>
      </c>
      <c r="D21" s="15" t="e">
        <f>#REF!-TypesTable5[[#This Row],[ملك الشركة - المنفذ]]</f>
        <v>#REF!</v>
      </c>
      <c r="E21" s="16" t="e">
        <f>(TypesTable5[[#This Row],[ملك الشركة - المنفذ]]/#REF!)</f>
        <v>#REF!</v>
      </c>
      <c r="F21" s="17" t="e">
        <f>#REF!/7</f>
        <v>#REF!</v>
      </c>
      <c r="G21" s="17" t="e">
        <f>TypesTable5[[#This Row],[المستهدف - الأسبوعي]]/6</f>
        <v>#REF!</v>
      </c>
      <c r="H21" s="30"/>
      <c r="I21" s="30"/>
      <c r="J21" s="30"/>
      <c r="K21" s="30"/>
    </row>
    <row r="22" spans="1:11" ht="18" hidden="1" customHeight="1" x14ac:dyDescent="0.25">
      <c r="A22" s="15" t="s">
        <v>27</v>
      </c>
      <c r="B22" s="15"/>
      <c r="C22" s="15">
        <v>174</v>
      </c>
      <c r="D22" s="15" t="e">
        <f>#REF!-TypesTable5[[#This Row],[ملك الشركة - المنفذ]]</f>
        <v>#REF!</v>
      </c>
      <c r="E22" s="16" t="e">
        <f>(TypesTable5[[#This Row],[ملك الشركة - المنفذ]]/#REF!)</f>
        <v>#REF!</v>
      </c>
      <c r="F22" s="17" t="e">
        <f>#REF!/7</f>
        <v>#REF!</v>
      </c>
      <c r="G22" s="17" t="e">
        <f>TypesTable5[[#This Row],[المستهدف - الأسبوعي]]/6</f>
        <v>#REF!</v>
      </c>
      <c r="H22" s="30"/>
      <c r="I22" s="30"/>
      <c r="J22" s="30"/>
      <c r="K22" s="30"/>
    </row>
    <row r="23" spans="1:11" ht="18" hidden="1" customHeight="1" x14ac:dyDescent="0.25">
      <c r="A23" s="15" t="s">
        <v>28</v>
      </c>
      <c r="B23" s="15"/>
      <c r="C23" s="15">
        <v>207</v>
      </c>
      <c r="D23" s="15" t="e">
        <f>#REF!-TypesTable5[[#This Row],[ملك الشركة - المنفذ]]</f>
        <v>#REF!</v>
      </c>
      <c r="E23" s="16" t="e">
        <f>(TypesTable5[[#This Row],[ملك الشركة - المنفذ]]/#REF!)</f>
        <v>#REF!</v>
      </c>
      <c r="F23" s="17" t="e">
        <f>#REF!/7</f>
        <v>#REF!</v>
      </c>
      <c r="G23" s="17" t="e">
        <f>TypesTable5[[#This Row],[المستهدف - الأسبوعي]]/6</f>
        <v>#REF!</v>
      </c>
      <c r="H23" s="30"/>
      <c r="I23" s="30"/>
      <c r="J23" s="30"/>
      <c r="K23" s="30"/>
    </row>
    <row r="24" spans="1:11" ht="18" hidden="1" customHeight="1" x14ac:dyDescent="0.25">
      <c r="A24" s="15" t="s">
        <v>29</v>
      </c>
      <c r="B24" s="15"/>
      <c r="C24" s="15">
        <v>171</v>
      </c>
      <c r="D24" s="15" t="e">
        <f>#REF!-TypesTable5[[#This Row],[ملك الشركة - المنفذ]]</f>
        <v>#REF!</v>
      </c>
      <c r="E24" s="16" t="e">
        <f>(TypesTable5[[#This Row],[ملك الشركة - المنفذ]]/#REF!)</f>
        <v>#REF!</v>
      </c>
      <c r="F24" s="17" t="e">
        <f>#REF!/7</f>
        <v>#REF!</v>
      </c>
      <c r="G24" s="17" t="e">
        <f>TypesTable5[[#This Row],[المستهدف - الأسبوعي]]/6</f>
        <v>#REF!</v>
      </c>
      <c r="H24" s="30"/>
      <c r="I24" s="30"/>
      <c r="J24" s="30"/>
      <c r="K24" s="30"/>
    </row>
    <row r="25" spans="1:11" ht="18" hidden="1" customHeight="1" x14ac:dyDescent="0.25">
      <c r="A25" s="15" t="s">
        <v>30</v>
      </c>
      <c r="B25" s="15"/>
      <c r="C25" s="15">
        <v>163</v>
      </c>
      <c r="D25" s="15" t="e">
        <f>#REF!-TypesTable5[[#This Row],[ملك الشركة - المنفذ]]</f>
        <v>#REF!</v>
      </c>
      <c r="E25" s="16" t="e">
        <f>(TypesTable5[[#This Row],[ملك الشركة - المنفذ]]/#REF!)</f>
        <v>#REF!</v>
      </c>
      <c r="F25" s="17" t="e">
        <f>#REF!/7</f>
        <v>#REF!</v>
      </c>
      <c r="G25" s="17" t="e">
        <f>TypesTable5[[#This Row],[المستهدف - الأسبوعي]]/6</f>
        <v>#REF!</v>
      </c>
      <c r="H25" s="30"/>
      <c r="I25" s="30"/>
      <c r="J25" s="30"/>
      <c r="K25" s="30"/>
    </row>
    <row r="26" spans="1:11" ht="18" hidden="1" customHeight="1" x14ac:dyDescent="0.25">
      <c r="A26" s="15" t="s">
        <v>31</v>
      </c>
      <c r="B26" s="15"/>
      <c r="C26" s="15">
        <v>161</v>
      </c>
      <c r="D26" s="15" t="e">
        <f>#REF!-TypesTable5[[#This Row],[ملك الشركة - المنفذ]]</f>
        <v>#REF!</v>
      </c>
      <c r="E26" s="16" t="e">
        <f>(TypesTable5[[#This Row],[ملك الشركة - المنفذ]]/#REF!)</f>
        <v>#REF!</v>
      </c>
      <c r="F26" s="17" t="e">
        <f>#REF!/7</f>
        <v>#REF!</v>
      </c>
      <c r="G26" s="17" t="e">
        <f>TypesTable5[[#This Row],[المستهدف - الأسبوعي]]/6</f>
        <v>#REF!</v>
      </c>
      <c r="H26" s="30"/>
      <c r="I26" s="30"/>
      <c r="J26" s="30"/>
      <c r="K26" s="30"/>
    </row>
    <row r="27" spans="1:11" ht="18" hidden="1" customHeight="1" x14ac:dyDescent="0.25">
      <c r="A27" s="15" t="s">
        <v>32</v>
      </c>
      <c r="B27" s="15"/>
      <c r="C27" s="15">
        <v>82</v>
      </c>
      <c r="D27" s="15" t="e">
        <f>#REF!-TypesTable5[[#This Row],[ملك الشركة - المنفذ]]</f>
        <v>#REF!</v>
      </c>
      <c r="E27" s="16" t="e">
        <f>(TypesTable5[[#This Row],[ملك الشركة - المنفذ]]/#REF!)</f>
        <v>#REF!</v>
      </c>
      <c r="F27" s="17" t="e">
        <f>#REF!/7</f>
        <v>#REF!</v>
      </c>
      <c r="G27" s="17" t="e">
        <f>TypesTable5[[#This Row],[المستهدف - الأسبوعي]]/6</f>
        <v>#REF!</v>
      </c>
      <c r="H27" s="30"/>
      <c r="I27" s="30"/>
      <c r="J27" s="30"/>
      <c r="K27" s="30"/>
    </row>
    <row r="28" spans="1:11" ht="18" hidden="1" customHeight="1" x14ac:dyDescent="0.25">
      <c r="A28" s="15" t="s">
        <v>33</v>
      </c>
      <c r="B28" s="15"/>
      <c r="C28" s="15">
        <v>129</v>
      </c>
      <c r="D28" s="15" t="e">
        <f>#REF!-TypesTable5[[#This Row],[ملك الشركة - المنفذ]]</f>
        <v>#REF!</v>
      </c>
      <c r="E28" s="16" t="e">
        <f>(TypesTable5[[#This Row],[ملك الشركة - المنفذ]]/#REF!)</f>
        <v>#REF!</v>
      </c>
      <c r="F28" s="17" t="e">
        <f>#REF!/7</f>
        <v>#REF!</v>
      </c>
      <c r="G28" s="17" t="e">
        <f>TypesTable5[[#This Row],[المستهدف - الأسبوعي]]/6</f>
        <v>#REF!</v>
      </c>
      <c r="H28" s="30"/>
      <c r="I28" s="30"/>
      <c r="J28" s="30"/>
      <c r="K28" s="30"/>
    </row>
    <row r="29" spans="1:11" ht="18" hidden="1" customHeight="1" x14ac:dyDescent="0.25">
      <c r="A29" s="8" t="s">
        <v>19</v>
      </c>
      <c r="B29" s="8"/>
      <c r="C29" s="8">
        <f>SUBTOTAL(109,C15:C28)</f>
        <v>0</v>
      </c>
      <c r="D29" s="8">
        <f t="shared" ref="D29" si="1">SUBTOTAL(109,D15:D28)</f>
        <v>0</v>
      </c>
      <c r="E29" s="9" t="e">
        <f>(TypesTable5[[#This Row],[ملك الشركة - المنفذ]]/#REF!)</f>
        <v>#REF!</v>
      </c>
      <c r="F29" s="10" t="e">
        <f>#REF!/7</f>
        <v>#REF!</v>
      </c>
      <c r="G29" s="10" t="e">
        <f>TypesTable5[[#This Row],[المستهدف - الأسبوعي]]/6</f>
        <v>#REF!</v>
      </c>
      <c r="H29" s="30"/>
      <c r="I29" s="30"/>
      <c r="J29" s="30"/>
      <c r="K29" s="30"/>
    </row>
    <row r="30" spans="1:11" ht="18" hidden="1" customHeight="1" x14ac:dyDescent="0.25">
      <c r="A30" s="15" t="s">
        <v>35</v>
      </c>
      <c r="B30" s="15"/>
      <c r="C30" s="15">
        <v>345</v>
      </c>
      <c r="D30" s="15" t="e">
        <f>#REF!-TypesTable5[[#This Row],[ملك الشركة - المنفذ]]</f>
        <v>#REF!</v>
      </c>
      <c r="E30" s="16" t="e">
        <f>(TypesTable5[[#This Row],[ملك الشركة - المنفذ]]/#REF!)</f>
        <v>#REF!</v>
      </c>
      <c r="F30" s="17" t="e">
        <f>#REF!/7</f>
        <v>#REF!</v>
      </c>
      <c r="G30" s="17" t="e">
        <f>TypesTable5[[#This Row],[المستهدف - الأسبوعي]]/6</f>
        <v>#REF!</v>
      </c>
      <c r="H30" s="30"/>
      <c r="I30" s="30"/>
      <c r="J30" s="30"/>
      <c r="K30" s="30"/>
    </row>
    <row r="31" spans="1:11" ht="18" hidden="1" customHeight="1" x14ac:dyDescent="0.25">
      <c r="A31" s="15" t="s">
        <v>36</v>
      </c>
      <c r="B31" s="15"/>
      <c r="C31" s="15">
        <v>73</v>
      </c>
      <c r="D31" s="15" t="e">
        <f>#REF!-TypesTable5[[#This Row],[ملك الشركة - المنفذ]]</f>
        <v>#REF!</v>
      </c>
      <c r="E31" s="16" t="e">
        <f>(TypesTable5[[#This Row],[ملك الشركة - المنفذ]]/#REF!)</f>
        <v>#REF!</v>
      </c>
      <c r="F31" s="17" t="e">
        <f>#REF!/7</f>
        <v>#REF!</v>
      </c>
      <c r="G31" s="17" t="e">
        <f>TypesTable5[[#This Row],[المستهدف - الأسبوعي]]/6</f>
        <v>#REF!</v>
      </c>
      <c r="H31" s="30"/>
      <c r="I31" s="30"/>
      <c r="J31" s="30"/>
      <c r="K31" s="30"/>
    </row>
    <row r="32" spans="1:11" ht="18" hidden="1" customHeight="1" x14ac:dyDescent="0.25">
      <c r="A32" s="15" t="s">
        <v>37</v>
      </c>
      <c r="B32" s="15"/>
      <c r="C32" s="15">
        <v>77</v>
      </c>
      <c r="D32" s="15" t="e">
        <f>#REF!-TypesTable5[[#This Row],[ملك الشركة - المنفذ]]</f>
        <v>#REF!</v>
      </c>
      <c r="E32" s="16" t="e">
        <f>(TypesTable5[[#This Row],[ملك الشركة - المنفذ]]/#REF!)</f>
        <v>#REF!</v>
      </c>
      <c r="F32" s="17" t="e">
        <f>#REF!/7</f>
        <v>#REF!</v>
      </c>
      <c r="G32" s="17" t="e">
        <f>TypesTable5[[#This Row],[المستهدف - الأسبوعي]]/6</f>
        <v>#REF!</v>
      </c>
      <c r="H32" s="30"/>
      <c r="I32" s="30"/>
      <c r="J32" s="30"/>
      <c r="K32" s="30"/>
    </row>
    <row r="33" spans="1:11" ht="18" hidden="1" customHeight="1" x14ac:dyDescent="0.25">
      <c r="A33" s="15" t="s">
        <v>38</v>
      </c>
      <c r="B33" s="15"/>
      <c r="C33" s="15">
        <v>142</v>
      </c>
      <c r="D33" s="15" t="e">
        <f>#REF!-TypesTable5[[#This Row],[ملك الشركة - المنفذ]]</f>
        <v>#REF!</v>
      </c>
      <c r="E33" s="16" t="e">
        <f>(TypesTable5[[#This Row],[ملك الشركة - المنفذ]]/#REF!)</f>
        <v>#REF!</v>
      </c>
      <c r="F33" s="17" t="e">
        <f>#REF!/7</f>
        <v>#REF!</v>
      </c>
      <c r="G33" s="17" t="e">
        <f>TypesTable5[[#This Row],[المستهدف - الأسبوعي]]/6</f>
        <v>#REF!</v>
      </c>
      <c r="H33" s="30"/>
      <c r="I33" s="30"/>
      <c r="J33" s="30"/>
      <c r="K33" s="30"/>
    </row>
    <row r="34" spans="1:11" ht="18" hidden="1" customHeight="1" x14ac:dyDescent="0.25">
      <c r="A34" s="15" t="s">
        <v>39</v>
      </c>
      <c r="B34" s="15"/>
      <c r="C34" s="15">
        <v>95</v>
      </c>
      <c r="D34" s="15" t="e">
        <f>#REF!-TypesTable5[[#This Row],[ملك الشركة - المنفذ]]</f>
        <v>#REF!</v>
      </c>
      <c r="E34" s="16" t="e">
        <f>(TypesTable5[[#This Row],[ملك الشركة - المنفذ]]/#REF!)</f>
        <v>#REF!</v>
      </c>
      <c r="F34" s="17" t="e">
        <f>#REF!/7</f>
        <v>#REF!</v>
      </c>
      <c r="G34" s="17" t="e">
        <f>TypesTable5[[#This Row],[المستهدف - الأسبوعي]]/6</f>
        <v>#REF!</v>
      </c>
      <c r="H34" s="30"/>
      <c r="I34" s="30"/>
      <c r="J34" s="30"/>
      <c r="K34" s="30"/>
    </row>
    <row r="35" spans="1:11" ht="18" hidden="1" customHeight="1" x14ac:dyDescent="0.25">
      <c r="A35" s="15" t="s">
        <v>40</v>
      </c>
      <c r="B35" s="15"/>
      <c r="C35" s="15">
        <v>100</v>
      </c>
      <c r="D35" s="15" t="e">
        <f>#REF!-TypesTable5[[#This Row],[ملك الشركة - المنفذ]]</f>
        <v>#REF!</v>
      </c>
      <c r="E35" s="16" t="e">
        <f>(TypesTable5[[#This Row],[ملك الشركة - المنفذ]]/#REF!)</f>
        <v>#REF!</v>
      </c>
      <c r="F35" s="17" t="e">
        <f>#REF!/7</f>
        <v>#REF!</v>
      </c>
      <c r="G35" s="17" t="e">
        <f>TypesTable5[[#This Row],[المستهدف - الأسبوعي]]/6</f>
        <v>#REF!</v>
      </c>
      <c r="H35" s="30"/>
      <c r="I35" s="30"/>
      <c r="J35" s="30"/>
      <c r="K35" s="30"/>
    </row>
    <row r="36" spans="1:11" ht="18" hidden="1" customHeight="1" x14ac:dyDescent="0.25">
      <c r="A36" s="15" t="s">
        <v>41</v>
      </c>
      <c r="B36" s="15"/>
      <c r="C36" s="15">
        <v>251</v>
      </c>
      <c r="D36" s="15" t="e">
        <f>#REF!-TypesTable5[[#This Row],[ملك الشركة - المنفذ]]</f>
        <v>#REF!</v>
      </c>
      <c r="E36" s="16" t="e">
        <f>(TypesTable5[[#This Row],[ملك الشركة - المنفذ]]/#REF!)</f>
        <v>#REF!</v>
      </c>
      <c r="F36" s="17" t="e">
        <f>#REF!/7</f>
        <v>#REF!</v>
      </c>
      <c r="G36" s="17" t="e">
        <f>TypesTable5[[#This Row],[المستهدف - الأسبوعي]]/6</f>
        <v>#REF!</v>
      </c>
      <c r="H36" s="30"/>
      <c r="I36" s="30"/>
      <c r="J36" s="30"/>
      <c r="K36" s="30"/>
    </row>
    <row r="37" spans="1:11" ht="18" hidden="1" customHeight="1" x14ac:dyDescent="0.25">
      <c r="A37" s="15" t="s">
        <v>42</v>
      </c>
      <c r="B37" s="15"/>
      <c r="C37" s="15">
        <v>71</v>
      </c>
      <c r="D37" s="15" t="e">
        <f>#REF!-TypesTable5[[#This Row],[ملك الشركة - المنفذ]]</f>
        <v>#REF!</v>
      </c>
      <c r="E37" s="16" t="e">
        <f>(TypesTable5[[#This Row],[ملك الشركة - المنفذ]]/#REF!)</f>
        <v>#REF!</v>
      </c>
      <c r="F37" s="17" t="e">
        <f>#REF!/7</f>
        <v>#REF!</v>
      </c>
      <c r="G37" s="17" t="e">
        <f>TypesTable5[[#This Row],[المستهدف - الأسبوعي]]/6</f>
        <v>#REF!</v>
      </c>
      <c r="H37" s="30"/>
      <c r="I37" s="30"/>
      <c r="J37" s="30"/>
      <c r="K37" s="30"/>
    </row>
    <row r="38" spans="1:11" ht="18" hidden="1" customHeight="1" x14ac:dyDescent="0.25">
      <c r="A38" s="15" t="s">
        <v>43</v>
      </c>
      <c r="B38" s="15"/>
      <c r="C38" s="15">
        <v>53</v>
      </c>
      <c r="D38" s="15" t="e">
        <f>#REF!-TypesTable5[[#This Row],[ملك الشركة - المنفذ]]</f>
        <v>#REF!</v>
      </c>
      <c r="E38" s="16" t="e">
        <f>(TypesTable5[[#This Row],[ملك الشركة - المنفذ]]/#REF!)</f>
        <v>#REF!</v>
      </c>
      <c r="F38" s="17" t="e">
        <f>#REF!/7</f>
        <v>#REF!</v>
      </c>
      <c r="G38" s="17" t="e">
        <f>TypesTable5[[#This Row],[المستهدف - الأسبوعي]]/6</f>
        <v>#REF!</v>
      </c>
      <c r="H38" s="30"/>
      <c r="I38" s="30"/>
      <c r="J38" s="30"/>
      <c r="K38" s="30"/>
    </row>
    <row r="39" spans="1:11" ht="18" hidden="1" customHeight="1" x14ac:dyDescent="0.25">
      <c r="A39" s="15" t="s">
        <v>44</v>
      </c>
      <c r="B39" s="15"/>
      <c r="C39" s="15">
        <v>67</v>
      </c>
      <c r="D39" s="15" t="e">
        <f>#REF!-TypesTable5[[#This Row],[ملك الشركة - المنفذ]]</f>
        <v>#REF!</v>
      </c>
      <c r="E39" s="16" t="e">
        <f>(TypesTable5[[#This Row],[ملك الشركة - المنفذ]]/#REF!)</f>
        <v>#REF!</v>
      </c>
      <c r="F39" s="17" t="e">
        <f>#REF!/7</f>
        <v>#REF!</v>
      </c>
      <c r="G39" s="17" t="e">
        <f>TypesTable5[[#This Row],[المستهدف - الأسبوعي]]/6</f>
        <v>#REF!</v>
      </c>
      <c r="H39" s="30"/>
      <c r="I39" s="30"/>
      <c r="J39" s="30"/>
      <c r="K39" s="30"/>
    </row>
    <row r="40" spans="1:11" ht="18" hidden="1" customHeight="1" x14ac:dyDescent="0.25">
      <c r="A40" s="15" t="s">
        <v>45</v>
      </c>
      <c r="B40" s="15"/>
      <c r="C40" s="15">
        <v>24</v>
      </c>
      <c r="D40" s="15" t="e">
        <f>#REF!-TypesTable5[[#This Row],[ملك الشركة - المنفذ]]</f>
        <v>#REF!</v>
      </c>
      <c r="E40" s="16" t="e">
        <f>(TypesTable5[[#This Row],[ملك الشركة - المنفذ]]/#REF!)</f>
        <v>#REF!</v>
      </c>
      <c r="F40" s="17" t="e">
        <f>#REF!/7</f>
        <v>#REF!</v>
      </c>
      <c r="G40" s="17" t="e">
        <f>TypesTable5[[#This Row],[المستهدف - الأسبوعي]]/6</f>
        <v>#REF!</v>
      </c>
      <c r="H40" s="30"/>
      <c r="I40" s="30"/>
      <c r="J40" s="30"/>
      <c r="K40" s="30"/>
    </row>
    <row r="41" spans="1:11" ht="18" hidden="1" customHeight="1" x14ac:dyDescent="0.25">
      <c r="A41" s="15" t="s">
        <v>46</v>
      </c>
      <c r="B41" s="15"/>
      <c r="C41" s="15">
        <v>133</v>
      </c>
      <c r="D41" s="15" t="e">
        <f>#REF!-TypesTable5[[#This Row],[ملك الشركة - المنفذ]]</f>
        <v>#REF!</v>
      </c>
      <c r="E41" s="16" t="e">
        <f>(TypesTable5[[#This Row],[ملك الشركة - المنفذ]]/#REF!)</f>
        <v>#REF!</v>
      </c>
      <c r="F41" s="17" t="e">
        <f>#REF!/7</f>
        <v>#REF!</v>
      </c>
      <c r="G41" s="17" t="e">
        <f>TypesTable5[[#This Row],[المستهدف - الأسبوعي]]/6</f>
        <v>#REF!</v>
      </c>
      <c r="H41" s="30"/>
      <c r="I41" s="30"/>
      <c r="J41" s="30"/>
      <c r="K41" s="30"/>
    </row>
    <row r="42" spans="1:11" ht="18" hidden="1" customHeight="1" x14ac:dyDescent="0.25">
      <c r="A42" s="15" t="s">
        <v>47</v>
      </c>
      <c r="B42" s="15"/>
      <c r="C42" s="15">
        <v>83</v>
      </c>
      <c r="D42" s="15" t="e">
        <f>#REF!-TypesTable5[[#This Row],[ملك الشركة - المنفذ]]</f>
        <v>#REF!</v>
      </c>
      <c r="E42" s="16" t="e">
        <f>(TypesTable5[[#This Row],[ملك الشركة - المنفذ]]/#REF!)</f>
        <v>#REF!</v>
      </c>
      <c r="F42" s="17" t="e">
        <f>#REF!/7</f>
        <v>#REF!</v>
      </c>
      <c r="G42" s="17" t="e">
        <f>TypesTable5[[#This Row],[المستهدف - الأسبوعي]]/6</f>
        <v>#REF!</v>
      </c>
      <c r="H42" s="30"/>
      <c r="I42" s="30"/>
      <c r="J42" s="30"/>
      <c r="K42" s="30"/>
    </row>
    <row r="43" spans="1:11" ht="30" customHeight="1" x14ac:dyDescent="0.25">
      <c r="A43" s="8" t="s">
        <v>49</v>
      </c>
      <c r="B43" s="12" t="s">
        <v>70</v>
      </c>
      <c r="C43" s="12" t="s">
        <v>71</v>
      </c>
      <c r="D43" s="12" t="s">
        <v>72</v>
      </c>
      <c r="E43" s="12" t="s">
        <v>73</v>
      </c>
      <c r="F43" s="12" t="s">
        <v>74</v>
      </c>
      <c r="G43" s="12" t="s">
        <v>75</v>
      </c>
      <c r="H43" s="28" t="s">
        <v>77</v>
      </c>
      <c r="I43" s="28" t="s">
        <v>76</v>
      </c>
      <c r="J43" s="28" t="s">
        <v>78</v>
      </c>
      <c r="K43" s="30"/>
    </row>
    <row r="44" spans="1:11" ht="30" customHeight="1" x14ac:dyDescent="0.25">
      <c r="A44" s="23" t="s">
        <v>50</v>
      </c>
      <c r="B44" s="23">
        <f>313+'[1]كفر الشيخ'!$B$3</f>
        <v>446</v>
      </c>
      <c r="C44" s="23">
        <v>200</v>
      </c>
      <c r="D44" s="23">
        <f>TypesTable5[[#This Row],[عمود1]]-TypesTable5[[#This Row],[ملك الشركة - المنفذ]]</f>
        <v>246</v>
      </c>
      <c r="E44" s="24">
        <f>TypesTable5[[#This Row],[ملك الشركة - المنفذ]]/TypesTable5[[#This Row],[عمود1]]</f>
        <v>0.44843049327354262</v>
      </c>
      <c r="F44" s="25">
        <f>TypesTable5[[#This Row],[المتبقى]]/8</f>
        <v>30.75</v>
      </c>
      <c r="G44" s="25">
        <f>TypesTable5[[#This Row],[المستهدف - الأسبوعي]]/6</f>
        <v>5.125</v>
      </c>
      <c r="H44" s="25">
        <v>1</v>
      </c>
      <c r="I44" s="25">
        <v>0</v>
      </c>
      <c r="J44" s="25">
        <v>0</v>
      </c>
      <c r="K44" s="30"/>
    </row>
    <row r="45" spans="1:11" ht="30" customHeight="1" x14ac:dyDescent="0.25">
      <c r="A45" s="23" t="s">
        <v>51</v>
      </c>
      <c r="B45" s="23">
        <f>268+'[1]كفر الشيخ'!$B$4</f>
        <v>357</v>
      </c>
      <c r="C45" s="23">
        <v>118</v>
      </c>
      <c r="D45" s="23">
        <f>TypesTable5[[#This Row],[عمود1]]-TypesTable5[[#This Row],[ملك الشركة - المنفذ]]</f>
        <v>239</v>
      </c>
      <c r="E45" s="24">
        <f>TypesTable5[[#This Row],[ملك الشركة - المنفذ]]/TypesTable5[[#This Row],[عمود1]]</f>
        <v>0.33053221288515405</v>
      </c>
      <c r="F45" s="25">
        <f>TypesTable5[[#This Row],[المتبقى]]/8</f>
        <v>29.875</v>
      </c>
      <c r="G45" s="25">
        <f>TypesTable5[[#This Row],[المستهدف - الأسبوعي]]/6</f>
        <v>4.979166666666667</v>
      </c>
      <c r="H45" s="25">
        <v>8</v>
      </c>
      <c r="I45" s="25">
        <v>22</v>
      </c>
      <c r="J45" s="25">
        <v>0</v>
      </c>
      <c r="K45" s="30"/>
    </row>
    <row r="46" spans="1:11" ht="30" customHeight="1" x14ac:dyDescent="0.25">
      <c r="A46" s="23" t="s">
        <v>52</v>
      </c>
      <c r="B46" s="23">
        <f>271+'[1]كفر الشيخ'!$B$5</f>
        <v>332</v>
      </c>
      <c r="C46" s="23">
        <f>155+'[1]كفر الشيخ'!$C$5</f>
        <v>162</v>
      </c>
      <c r="D46" s="23">
        <f>TypesTable5[[#This Row],[عمود1]]-TypesTable5[[#This Row],[ملك الشركة - المنفذ]]</f>
        <v>170</v>
      </c>
      <c r="E46" s="24">
        <f>TypesTable5[[#This Row],[ملك الشركة - المنفذ]]/TypesTable5[[#This Row],[عمود1]]</f>
        <v>0.48795180722891568</v>
      </c>
      <c r="F46" s="25">
        <f>TypesTable5[[#This Row],[المتبقى]]/8</f>
        <v>21.25</v>
      </c>
      <c r="G46" s="25">
        <f>TypesTable5[[#This Row],[المستهدف - الأسبوعي]]/6</f>
        <v>3.5416666666666665</v>
      </c>
      <c r="H46" s="25">
        <v>5</v>
      </c>
      <c r="I46" s="25">
        <v>2</v>
      </c>
      <c r="J46" s="25">
        <v>0</v>
      </c>
      <c r="K46" s="30"/>
    </row>
    <row r="47" spans="1:11" ht="30" customHeight="1" x14ac:dyDescent="0.25">
      <c r="A47" s="23" t="s">
        <v>53</v>
      </c>
      <c r="B47" s="23">
        <f>245+'[1]كفر الشيخ'!$B$6</f>
        <v>313</v>
      </c>
      <c r="C47" s="23">
        <f>150+'[1]كفر الشيخ'!$C$6</f>
        <v>155</v>
      </c>
      <c r="D47" s="23">
        <f>TypesTable5[[#This Row],[عمود1]]-TypesTable5[[#This Row],[ملك الشركة - المنفذ]]</f>
        <v>158</v>
      </c>
      <c r="E47" s="24">
        <f>TypesTable5[[#This Row],[ملك الشركة - المنفذ]]/TypesTable5[[#This Row],[عمود1]]</f>
        <v>0.49520766773162939</v>
      </c>
      <c r="F47" s="25">
        <f>TypesTable5[[#This Row],[المتبقى]]/8</f>
        <v>19.75</v>
      </c>
      <c r="G47" s="25">
        <f>TypesTable5[[#This Row],[المستهدف - الأسبوعي]]/6</f>
        <v>3.2916666666666665</v>
      </c>
      <c r="H47" s="25">
        <v>0</v>
      </c>
      <c r="I47" s="25">
        <v>8</v>
      </c>
      <c r="J47" s="25">
        <v>0</v>
      </c>
      <c r="K47" s="30"/>
    </row>
    <row r="48" spans="1:11" ht="30" customHeight="1" x14ac:dyDescent="0.25">
      <c r="A48" s="23" t="s">
        <v>54</v>
      </c>
      <c r="B48" s="23">
        <f>305+'[1]كفر الشيخ'!$B$7</f>
        <v>389</v>
      </c>
      <c r="C48" s="23">
        <v>115</v>
      </c>
      <c r="D48" s="23">
        <f>TypesTable5[[#This Row],[عمود1]]-TypesTable5[[#This Row],[ملك الشركة - المنفذ]]</f>
        <v>274</v>
      </c>
      <c r="E48" s="24">
        <f>TypesTable5[[#This Row],[ملك الشركة - المنفذ]]/TypesTable5[[#This Row],[عمود1]]</f>
        <v>0.29562982005141386</v>
      </c>
      <c r="F48" s="25">
        <f>TypesTable5[[#This Row],[المتبقى]]/8</f>
        <v>34.25</v>
      </c>
      <c r="G48" s="25">
        <f>TypesTable5[[#This Row],[المستهدف - الأسبوعي]]/6</f>
        <v>5.708333333333333</v>
      </c>
      <c r="H48" s="25">
        <v>0</v>
      </c>
      <c r="I48" s="25">
        <v>0</v>
      </c>
      <c r="J48" s="25">
        <v>0</v>
      </c>
      <c r="K48" s="30"/>
    </row>
    <row r="49" spans="1:11" ht="30" customHeight="1" x14ac:dyDescent="0.25">
      <c r="A49" s="23" t="s">
        <v>55</v>
      </c>
      <c r="B49" s="23">
        <f>302+'[1]كفر الشيخ'!$B$8</f>
        <v>353</v>
      </c>
      <c r="C49" s="23">
        <v>50</v>
      </c>
      <c r="D49" s="23">
        <f>TypesTable5[[#This Row],[عمود1]]-TypesTable5[[#This Row],[ملك الشركة - المنفذ]]</f>
        <v>303</v>
      </c>
      <c r="E49" s="24">
        <f>TypesTable5[[#This Row],[ملك الشركة - المنفذ]]/TypesTable5[[#This Row],[عمود1]]</f>
        <v>0.14164305949008499</v>
      </c>
      <c r="F49" s="25">
        <f>TypesTable5[[#This Row],[المتبقى]]/8</f>
        <v>37.875</v>
      </c>
      <c r="G49" s="25">
        <f>TypesTable5[[#This Row],[المستهدف - الأسبوعي]]/6</f>
        <v>6.3125</v>
      </c>
      <c r="H49" s="25">
        <v>0</v>
      </c>
      <c r="I49" s="25">
        <v>0</v>
      </c>
      <c r="J49" s="25">
        <v>0</v>
      </c>
      <c r="K49" s="30"/>
    </row>
    <row r="50" spans="1:11" ht="30" customHeight="1" x14ac:dyDescent="0.25">
      <c r="A50" s="23" t="s">
        <v>56</v>
      </c>
      <c r="B50" s="23">
        <f>324+'[1]كفر الشيخ'!$B$9</f>
        <v>435</v>
      </c>
      <c r="C50" s="23">
        <f>142+'[1]كفر الشيخ'!$C$9</f>
        <v>144</v>
      </c>
      <c r="D50" s="23">
        <f>TypesTable5[[#This Row],[عمود1]]-TypesTable5[[#This Row],[ملك الشركة - المنفذ]]</f>
        <v>291</v>
      </c>
      <c r="E50" s="24">
        <f>TypesTable5[[#This Row],[ملك الشركة - المنفذ]]/TypesTable5[[#This Row],[عمود1]]</f>
        <v>0.33103448275862069</v>
      </c>
      <c r="F50" s="25">
        <f>TypesTable5[[#This Row],[المتبقى]]/8</f>
        <v>36.375</v>
      </c>
      <c r="G50" s="25">
        <f>TypesTable5[[#This Row],[المستهدف - الأسبوعي]]/6</f>
        <v>6.0625</v>
      </c>
      <c r="H50" s="25">
        <v>14</v>
      </c>
      <c r="I50" s="25">
        <v>0</v>
      </c>
      <c r="J50" s="25">
        <v>0</v>
      </c>
      <c r="K50" s="30"/>
    </row>
    <row r="51" spans="1:11" ht="30" customHeight="1" x14ac:dyDescent="0.25">
      <c r="A51" s="23" t="s">
        <v>57</v>
      </c>
      <c r="B51" s="23">
        <f>154+'[1]كفر الشيخ'!$B$10</f>
        <v>201</v>
      </c>
      <c r="C51" s="23">
        <f>137+'[1]كفر الشيخ'!$C$10</f>
        <v>140</v>
      </c>
      <c r="D51" s="23">
        <f>TypesTable5[[#This Row],[عمود1]]-TypesTable5[[#This Row],[ملك الشركة - المنفذ]]</f>
        <v>61</v>
      </c>
      <c r="E51" s="24">
        <f>TypesTable5[[#This Row],[ملك الشركة - المنفذ]]/TypesTable5[[#This Row],[عمود1]]</f>
        <v>0.69651741293532343</v>
      </c>
      <c r="F51" s="25">
        <f>TypesTable5[[#This Row],[المتبقى]]/8</f>
        <v>7.625</v>
      </c>
      <c r="G51" s="25">
        <f>TypesTable5[[#This Row],[المستهدف - الأسبوعي]]/6</f>
        <v>1.2708333333333333</v>
      </c>
      <c r="H51" s="25">
        <v>0</v>
      </c>
      <c r="I51" s="25">
        <v>0</v>
      </c>
      <c r="J51" s="25">
        <v>0</v>
      </c>
      <c r="K51" s="30"/>
    </row>
    <row r="52" spans="1:11" ht="30" customHeight="1" x14ac:dyDescent="0.25">
      <c r="A52" s="23" t="s">
        <v>58</v>
      </c>
      <c r="B52" s="23">
        <f>298+'[1]كفر الشيخ'!$B$11</f>
        <v>385</v>
      </c>
      <c r="C52" s="23">
        <v>135</v>
      </c>
      <c r="D52" s="23">
        <f>TypesTable5[[#This Row],[عمود1]]-TypesTable5[[#This Row],[ملك الشركة - المنفذ]]</f>
        <v>250</v>
      </c>
      <c r="E52" s="24">
        <f>TypesTable5[[#This Row],[ملك الشركة - المنفذ]]/TypesTable5[[#This Row],[عمود1]]</f>
        <v>0.35064935064935066</v>
      </c>
      <c r="F52" s="25">
        <f>TypesTable5[[#This Row],[المتبقى]]/8</f>
        <v>31.25</v>
      </c>
      <c r="G52" s="25">
        <f>TypesTable5[[#This Row],[المستهدف - الأسبوعي]]/6</f>
        <v>5.208333333333333</v>
      </c>
      <c r="H52" s="25">
        <v>1</v>
      </c>
      <c r="I52" s="25">
        <v>1</v>
      </c>
      <c r="J52" s="25">
        <v>0</v>
      </c>
      <c r="K52" s="30"/>
    </row>
    <row r="53" spans="1:11" ht="30" customHeight="1" x14ac:dyDescent="0.25">
      <c r="A53" s="23" t="s">
        <v>59</v>
      </c>
      <c r="B53" s="23">
        <f>180+'[1]كفر الشيخ'!$B$12</f>
        <v>225</v>
      </c>
      <c r="C53" s="23">
        <v>108</v>
      </c>
      <c r="D53" s="23">
        <f>TypesTable5[[#This Row],[عمود1]]-TypesTable5[[#This Row],[ملك الشركة - المنفذ]]</f>
        <v>117</v>
      </c>
      <c r="E53" s="24">
        <f>TypesTable5[[#This Row],[ملك الشركة - المنفذ]]/TypesTable5[[#This Row],[عمود1]]</f>
        <v>0.48</v>
      </c>
      <c r="F53" s="25">
        <f>TypesTable5[[#This Row],[المتبقى]]/8</f>
        <v>14.625</v>
      </c>
      <c r="G53" s="25">
        <f>TypesTable5[[#This Row],[المستهدف - الأسبوعي]]/6</f>
        <v>2.4375</v>
      </c>
      <c r="H53" s="25">
        <v>0</v>
      </c>
      <c r="I53" s="25">
        <v>0</v>
      </c>
      <c r="J53" s="25">
        <v>0</v>
      </c>
      <c r="K53" s="30"/>
    </row>
    <row r="54" spans="1:11" ht="30" customHeight="1" x14ac:dyDescent="0.25">
      <c r="A54" s="23" t="s">
        <v>60</v>
      </c>
      <c r="B54" s="23">
        <f>189+'[1]كفر الشيخ'!$B$13</f>
        <v>332</v>
      </c>
      <c r="C54" s="23">
        <f>146+'[1]كفر الشيخ'!$C$13</f>
        <v>150</v>
      </c>
      <c r="D54" s="23">
        <f>TypesTable5[[#This Row],[عمود1]]-TypesTable5[[#This Row],[ملك الشركة - المنفذ]]</f>
        <v>182</v>
      </c>
      <c r="E54" s="24">
        <f>TypesTable5[[#This Row],[ملك الشركة - المنفذ]]/TypesTable5[[#This Row],[عمود1]]</f>
        <v>0.45180722891566266</v>
      </c>
      <c r="F54" s="25">
        <f>TypesTable5[[#This Row],[المتبقى]]/8</f>
        <v>22.75</v>
      </c>
      <c r="G54" s="25">
        <f>TypesTable5[[#This Row],[المستهدف - الأسبوعي]]/6</f>
        <v>3.7916666666666665</v>
      </c>
      <c r="H54" s="25">
        <v>0</v>
      </c>
      <c r="I54" s="25">
        <v>0</v>
      </c>
      <c r="J54" s="25">
        <v>0</v>
      </c>
      <c r="K54" s="30"/>
    </row>
    <row r="55" spans="1:11" ht="30" customHeight="1" x14ac:dyDescent="0.25">
      <c r="A55" s="23" t="s">
        <v>61</v>
      </c>
      <c r="B55" s="23">
        <f>405+'[1]كفر الشيخ'!$B$14</f>
        <v>586</v>
      </c>
      <c r="C55" s="23">
        <v>163</v>
      </c>
      <c r="D55" s="23">
        <f>TypesTable5[[#This Row],[عمود1]]-TypesTable5[[#This Row],[ملك الشركة - المنفذ]]</f>
        <v>423</v>
      </c>
      <c r="E55" s="24">
        <f>TypesTable5[[#This Row],[ملك الشركة - المنفذ]]/TypesTable5[[#This Row],[عمود1]]</f>
        <v>0.27815699658703069</v>
      </c>
      <c r="F55" s="25">
        <f>TypesTable5[[#This Row],[المتبقى]]/8</f>
        <v>52.875</v>
      </c>
      <c r="G55" s="25">
        <f>TypesTable5[[#This Row],[المستهدف - الأسبوعي]]/6</f>
        <v>8.8125</v>
      </c>
      <c r="H55" s="25">
        <v>0</v>
      </c>
      <c r="I55" s="25">
        <v>0</v>
      </c>
      <c r="J55" s="25">
        <v>0</v>
      </c>
      <c r="K55" s="30"/>
    </row>
    <row r="56" spans="1:11" ht="30" customHeight="1" x14ac:dyDescent="0.25">
      <c r="A56" s="23" t="s">
        <v>62</v>
      </c>
      <c r="B56" s="23">
        <f>154+'[1]كفر الشيخ'!$B$15</f>
        <v>243</v>
      </c>
      <c r="C56" s="23">
        <v>75</v>
      </c>
      <c r="D56" s="23">
        <f>TypesTable5[[#This Row],[عمود1]]-TypesTable5[[#This Row],[ملك الشركة - المنفذ]]</f>
        <v>168</v>
      </c>
      <c r="E56" s="24">
        <f>TypesTable5[[#This Row],[ملك الشركة - المنفذ]]/TypesTable5[[#This Row],[عمود1]]</f>
        <v>0.30864197530864196</v>
      </c>
      <c r="F56" s="25">
        <f>TypesTable5[[#This Row],[المتبقى]]/8</f>
        <v>21</v>
      </c>
      <c r="G56" s="25">
        <f>TypesTable5[[#This Row],[المستهدف - الأسبوعي]]/6</f>
        <v>3.5</v>
      </c>
      <c r="H56" s="25">
        <v>0</v>
      </c>
      <c r="I56" s="25">
        <v>4</v>
      </c>
      <c r="J56" s="25">
        <v>1</v>
      </c>
      <c r="K56" s="30"/>
    </row>
    <row r="57" spans="1:11" ht="30" customHeight="1" x14ac:dyDescent="0.25">
      <c r="A57" s="23" t="s">
        <v>63</v>
      </c>
      <c r="B57" s="23">
        <f>274+'[1]كفر الشيخ'!$B$16</f>
        <v>333</v>
      </c>
      <c r="C57" s="23">
        <v>109</v>
      </c>
      <c r="D57" s="23">
        <f>TypesTable5[[#This Row],[عمود1]]-TypesTable5[[#This Row],[ملك الشركة - المنفذ]]</f>
        <v>224</v>
      </c>
      <c r="E57" s="24">
        <f>TypesTable5[[#This Row],[ملك الشركة - المنفذ]]/TypesTable5[[#This Row],[عمود1]]</f>
        <v>0.32732732732732733</v>
      </c>
      <c r="F57" s="25">
        <f>TypesTable5[[#This Row],[المتبقى]]/8</f>
        <v>28</v>
      </c>
      <c r="G57" s="25">
        <f>TypesTable5[[#This Row],[المستهدف - الأسبوعي]]/6</f>
        <v>4.666666666666667</v>
      </c>
      <c r="H57" s="25">
        <v>0</v>
      </c>
      <c r="I57" s="25">
        <v>0</v>
      </c>
      <c r="J57" s="25">
        <v>0</v>
      </c>
      <c r="K57" s="30"/>
    </row>
    <row r="58" spans="1:11" ht="30" customHeight="1" x14ac:dyDescent="0.25">
      <c r="A58" s="23" t="s">
        <v>64</v>
      </c>
      <c r="B58" s="23">
        <f>375+'[1]كفر الشيخ'!$B$17</f>
        <v>502</v>
      </c>
      <c r="C58" s="23">
        <v>111</v>
      </c>
      <c r="D58" s="23">
        <f>TypesTable5[[#This Row],[عمود1]]-TypesTable5[[#This Row],[ملك الشركة - المنفذ]]</f>
        <v>391</v>
      </c>
      <c r="E58" s="24">
        <f>TypesTable5[[#This Row],[ملك الشركة - المنفذ]]/TypesTable5[[#This Row],[عمود1]]</f>
        <v>0.22111553784860558</v>
      </c>
      <c r="F58" s="25">
        <f>TypesTable5[[#This Row],[المتبقى]]/8</f>
        <v>48.875</v>
      </c>
      <c r="G58" s="25">
        <f>TypesTable5[[#This Row],[المستهدف - الأسبوعي]]/6</f>
        <v>8.1458333333333339</v>
      </c>
      <c r="H58" s="25">
        <v>0</v>
      </c>
      <c r="I58" s="25">
        <v>0</v>
      </c>
      <c r="J58" s="25">
        <v>0</v>
      </c>
      <c r="K58" s="30"/>
    </row>
    <row r="59" spans="1:11" ht="30" customHeight="1" x14ac:dyDescent="0.25">
      <c r="A59" s="23" t="s">
        <v>65</v>
      </c>
      <c r="B59" s="23">
        <f>226+'[1]كفر الشيخ'!$B$18</f>
        <v>365</v>
      </c>
      <c r="C59" s="23">
        <f>140+'[1]كفر الشيخ'!$C$18</f>
        <v>141</v>
      </c>
      <c r="D59" s="23">
        <f>TypesTable5[[#This Row],[عمود1]]-TypesTable5[[#This Row],[ملك الشركة - المنفذ]]</f>
        <v>224</v>
      </c>
      <c r="E59" s="24">
        <f>TypesTable5[[#This Row],[ملك الشركة - المنفذ]]/TypesTable5[[#This Row],[عمود1]]</f>
        <v>0.38630136986301372</v>
      </c>
      <c r="F59" s="25">
        <f>TypesTable5[[#This Row],[المتبقى]]/8</f>
        <v>28</v>
      </c>
      <c r="G59" s="25">
        <f>TypesTable5[[#This Row],[المستهدف - الأسبوعي]]/6</f>
        <v>4.666666666666667</v>
      </c>
      <c r="H59" s="25">
        <v>0</v>
      </c>
      <c r="I59" s="25">
        <v>0</v>
      </c>
      <c r="J59" s="25">
        <v>0</v>
      </c>
      <c r="K59" s="30"/>
    </row>
    <row r="60" spans="1:11" ht="30" customHeight="1" x14ac:dyDescent="0.25">
      <c r="A60" s="23" t="s">
        <v>66</v>
      </c>
      <c r="B60" s="23">
        <f>125+'[1]كفر الشيخ'!$B$19</f>
        <v>155</v>
      </c>
      <c r="C60" s="23">
        <v>100</v>
      </c>
      <c r="D60" s="23">
        <f>TypesTable5[[#This Row],[عمود1]]-TypesTable5[[#This Row],[ملك الشركة - المنفذ]]</f>
        <v>55</v>
      </c>
      <c r="E60" s="24">
        <f>TypesTable5[[#This Row],[ملك الشركة - المنفذ]]/TypesTable5[[#This Row],[عمود1]]</f>
        <v>0.64516129032258063</v>
      </c>
      <c r="F60" s="25">
        <f>TypesTable5[[#This Row],[المتبقى]]/8</f>
        <v>6.875</v>
      </c>
      <c r="G60" s="25">
        <f>TypesTable5[[#This Row],[المستهدف - الأسبوعي]]/6</f>
        <v>1.1458333333333333</v>
      </c>
      <c r="H60" s="25">
        <v>5</v>
      </c>
      <c r="I60" s="25">
        <v>0</v>
      </c>
      <c r="J60" s="25">
        <v>0</v>
      </c>
      <c r="K60" s="30"/>
    </row>
    <row r="61" spans="1:11" ht="30" customHeight="1" x14ac:dyDescent="0.25">
      <c r="A61" s="8" t="s">
        <v>17</v>
      </c>
      <c r="B61" s="8">
        <f>SUBTOTAL(109,B44:B60)</f>
        <v>5952</v>
      </c>
      <c r="C61" s="8">
        <f>SUBTOTAL(109,C44:C60)</f>
        <v>2176</v>
      </c>
      <c r="D61" s="8">
        <f>TypesTable5[[#This Row],[عمود1]]-TypesTable5[[#This Row],[ملك الشركة - المنفذ]]</f>
        <v>3776</v>
      </c>
      <c r="E61" s="26">
        <f>TypesTable5[[#This Row],[ملك الشركة - المنفذ]]/TypesTable5[[#This Row],[عمود1]]</f>
        <v>0.36559139784946237</v>
      </c>
      <c r="F61" s="8">
        <f>TypesTable5[[#This Row],[المتبقى]]/8</f>
        <v>472</v>
      </c>
      <c r="G61" s="10">
        <f>TypesTable5[[#This Row],[المستهدف - الأسبوعي]]/6</f>
        <v>78.666666666666671</v>
      </c>
      <c r="H61" s="10">
        <v>34</v>
      </c>
      <c r="I61" s="10">
        <v>37</v>
      </c>
      <c r="J61" s="10">
        <v>1</v>
      </c>
      <c r="K61" s="30"/>
    </row>
  </sheetData>
  <mergeCells count="1">
    <mergeCell ref="A1:J1"/>
  </mergeCells>
  <phoneticPr fontId="1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دمياط</vt:lpstr>
      <vt:lpstr>ش الدقهلية</vt:lpstr>
      <vt:lpstr>ج الدقهلية</vt:lpstr>
      <vt:lpstr>كفر الشيخ</vt:lpstr>
      <vt:lpstr>دمياط!Print_Area</vt:lpstr>
      <vt:lpstr>'ش الدقهلية'!Print_Area</vt:lpstr>
      <vt:lpstr>'كفر الشيخ'!Print_Area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2026-05-05T17:32:05Z</dcterms:modified>
</cp:coreProperties>
</file>